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ritik\Desktop\Excel\"/>
    </mc:Choice>
  </mc:AlternateContent>
  <xr:revisionPtr revIDLastSave="0" documentId="13_ncr:1_{E97A8096-DCB9-4C14-B47C-DD5876CF489E}" xr6:coauthVersionLast="47" xr6:coauthVersionMax="47" xr10:uidLastSave="{00000000-0000-0000-0000-000000000000}"/>
  <bookViews>
    <workbookView xWindow="-108" yWindow="-108" windowWidth="23256" windowHeight="13176" tabRatio="714" firstSheet="4" activeTab="4" xr2:uid="{00000000-000D-0000-FFFF-FFFF00000000}"/>
  </bookViews>
  <sheets>
    <sheet name="FIRM WISE" sheetId="2" state="hidden" r:id="rId1"/>
    <sheet name="MONTH WISE" sheetId="4" state="hidden" r:id="rId2"/>
    <sheet name="TAX WISE" sheetId="5" state="hidden" r:id="rId3"/>
    <sheet name="PRODUCT WISE" sheetId="6" state="hidden" r:id="rId4"/>
    <sheet name="DASHBOARD" sheetId="14" r:id="rId5"/>
    <sheet name="DATA" sheetId="1" r:id="rId6"/>
    <sheet name="Sheet1" sheetId="7" r:id="rId7"/>
    <sheet name="FirmWise" sheetId="8" r:id="rId8"/>
    <sheet name="MonthWise" sheetId="10" r:id="rId9"/>
    <sheet name="TaxWise" sheetId="11" r:id="rId10"/>
    <sheet name="ProductWise" sheetId="12" r:id="rId11"/>
    <sheet name="StateWise" sheetId="13" r:id="rId12"/>
  </sheets>
  <definedNames>
    <definedName name="Slicer_Date">#N/A</definedName>
    <definedName name="Slicer_Description_of_Goods">#N/A</definedName>
    <definedName name="Slicer_Firm_Name">#N/A</definedName>
    <definedName name="Slicer_State">#N/A</definedName>
    <definedName name="Slicer_Tax_Rate">#N/A</definedName>
  </definedNames>
  <calcPr calcId="191029"/>
  <pivotCaches>
    <pivotCache cacheId="0" r:id="rId13"/>
    <pivotCache cacheId="1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<sst xmlns="http://schemas.openxmlformats.org/spreadsheetml/2006/main" count="222" uniqueCount="45">
  <si>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</si>
  <si>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</si>
  <si>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</si>
  <si>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</si>
  <si>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</si>
  <si>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</si>
  <si>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</si>
  <si>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</si>
  <si>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</si>
  <si>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</si>
  <si>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</si>
  <si>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</si>
  <si>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</si>
  <si>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</si>
  <si>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</si>
  <si>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</si>
  <si>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</si>
  <si>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</si>
  <si>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</si>
  <si>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</si>
  <si>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</si>
  <si>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</si>
  <si>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</si>
  <si>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</si>
  <si>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</si>
  <si>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</si>
  <si>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</si>
  <si>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</si>
  <si>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</si>
  <si>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</si>
  <si>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</si>
  <si>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</si>
  <si>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</si>
  <si>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</si>
  <si>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</si>
  <si>
    <t>FIRM WISE</t>
  </si>
  <si>
    <t>MONTH WISE</t>
  </si>
  <si>
    <t>TAX WISE</t>
  </si>
  <si>
    <t>PRODUCT WISE</t>
  </si>
  <si>
    <t>STATE WISE</t>
  </si>
  <si>
    <t>PT_FIRM</t>
  </si>
  <si>
    <t>PT_MONTH</t>
  </si>
  <si>
    <t>PT_TAX</t>
  </si>
  <si>
    <t>PT_PRODUCT</t>
  </si>
  <si>
    <t>PT_STATE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</si>
</sst>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 x14ac:knownFonts="1">
    <font>
      <sz val="11"/>
      <color theme="1"/>
      <name val="Calibri"/>
      <family val="2"/>
      <scheme val="minor"/>
    </font>
    <font>
      <sz val="11"/>
      <color theme="1"/>
      <name val="Calibri"/>
      <family val="2"/>
      <scheme val="minor"/>
    </font>
    <font>
      <sz val="12"/>
      <color theme="1"/>
      <name val="Calibri"/>
      <family val="2"/>
      <scheme val="minor"/>
    </font>
    <font>
      <sz val="16"/>
      <color rgb="FFFF0000"/>
      <name val="Calibri"/>
      <family val="2"/>
      <scheme val="minor"/>
    </font>
    <font>
      <b/>
      <sz val="14"/>
      <color theme="0"/>
      <name val="Calibri"/>
      <family val="2"/>
      <scheme val="minor"/>
    </font>
    <font>
      <sz val="14"/>
      <color theme="1"/>
      <name val="Calibri"/>
      <family val="2"/>
      <scheme val="minor"/>
    </font>
  </fonts>
  <fills count="7">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2">
    <xf numFmtId="0" fontId="0" fillId="0" borderId="0"/>
    <xf numFmtId="0" fontId="1" fillId="2" borderId="0" applyNumberFormat="0" applyBorder="0" applyAlignment="0" applyProtection="0"/>
  </cellStyleXfs>
  <cellXfs count="44">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applyAlignment="1">
      <alignment horizontal="left"/>
    </xf>
    <xf numFmtId="0" fontId="3" fillId="0" borderId="1" xfId="0" applyFont="1" applyBorder="1"/>
    <xf numFmtId="9" fontId="4" fillId="3" borderId="4" xfId="0" applyNumberFormat="1" applyFont="1" applyFill="1" applyBorder="1" applyAlignment="1">
      <alignment horizontal="center" vertical="center"/>
    </xf>
    <xf numFmtId="10" fontId="4" fillId="3" borderId="4" xfId="0" applyNumberFormat="1" applyFont="1" applyFill="1" applyBorder="1" applyAlignment="1">
      <alignment horizontal="center" vertical="center"/>
    </xf>
    <xf numFmtId="164" fontId="4" fillId="3" borderId="4" xfId="0" applyNumberFormat="1" applyFont="1" applyFill="1" applyBorder="1" applyAlignment="1">
      <alignment horizontal="center" vertical="center"/>
    </xf>
    <xf numFmtId="9" fontId="4" fillId="3" borderId="2" xfId="0" applyNumberFormat="1" applyFont="1" applyFill="1" applyBorder="1" applyAlignment="1">
      <alignment horizontal="center" vertical="center"/>
    </xf>
    <xf numFmtId="0" fontId="2" fillId="4" borderId="4" xfId="1" applyFont="1" applyFill="1" applyBorder="1" applyAlignment="1">
      <alignment horizontal="center" vertical="center"/>
    </xf>
    <xf numFmtId="14" fontId="2" fillId="4" borderId="4" xfId="1" applyNumberFormat="1" applyFont="1" applyFill="1" applyBorder="1" applyAlignment="1">
      <alignment horizontal="center" vertical="center"/>
    </xf>
    <xf numFmtId="10" fontId="2" fillId="4" borderId="4" xfId="1" applyNumberFormat="1" applyFont="1" applyFill="1" applyBorder="1" applyAlignment="1">
      <alignment horizontal="center" vertical="center"/>
    </xf>
    <xf numFmtId="4" fontId="2" fillId="4" borderId="4" xfId="1" applyNumberFormat="1" applyFont="1" applyFill="1" applyBorder="1" applyAlignment="1">
      <alignment horizontal="center" vertical="center"/>
    </xf>
    <xf numFmtId="4" fontId="2" fillId="4" borderId="4" xfId="0" applyNumberFormat="1" applyFont="1" applyFill="1" applyBorder="1"/>
    <xf numFmtId="4" fontId="2" fillId="4" borderId="4" xfId="1" applyNumberFormat="1" applyFont="1" applyFill="1" applyBorder="1"/>
    <xf numFmtId="4" fontId="2" fillId="4" borderId="2" xfId="0" applyNumberFormat="1" applyFont="1" applyFill="1" applyBorder="1"/>
    <xf numFmtId="0" fontId="2" fillId="2" borderId="4" xfId="1" applyFont="1" applyBorder="1" applyAlignment="1">
      <alignment horizontal="center" vertical="center"/>
    </xf>
    <xf numFmtId="14" fontId="2" fillId="2" borderId="4" xfId="1" applyNumberFormat="1" applyFont="1" applyBorder="1" applyAlignment="1">
      <alignment horizontal="center" vertical="center"/>
    </xf>
    <xf numFmtId="10" fontId="2" fillId="2" borderId="4" xfId="1" applyNumberFormat="1" applyFont="1" applyBorder="1" applyAlignment="1">
      <alignment horizontal="center" vertical="center"/>
    </xf>
    <xf numFmtId="4" fontId="2" fillId="2" borderId="4" xfId="1" applyNumberFormat="1" applyFont="1" applyBorder="1" applyAlignment="1">
      <alignment horizontal="center" vertical="center"/>
    </xf>
    <xf numFmtId="4" fontId="2" fillId="0" borderId="4" xfId="0" applyNumberFormat="1" applyFont="1" applyBorder="1"/>
    <xf numFmtId="4" fontId="2" fillId="2" borderId="4" xfId="1" applyNumberFormat="1" applyFont="1" applyBorder="1"/>
    <xf numFmtId="4" fontId="2" fillId="0" borderId="2" xfId="0" applyNumberFormat="1" applyFont="1" applyBorder="1"/>
    <xf numFmtId="10" fontId="2" fillId="4" borderId="4" xfId="1" applyNumberFormat="1" applyFont="1" applyFill="1" applyBorder="1" applyAlignment="1">
      <alignment horizontal="center"/>
    </xf>
    <xf numFmtId="0" fontId="2" fillId="4" borderId="4" xfId="1" applyFont="1" applyFill="1" applyBorder="1" applyAlignment="1">
      <alignment horizontal="center"/>
    </xf>
    <xf numFmtId="10" fontId="2" fillId="2" borderId="4" xfId="1" applyNumberFormat="1" applyFont="1" applyBorder="1" applyAlignment="1">
      <alignment horizontal="center"/>
    </xf>
    <xf numFmtId="0" fontId="2" fillId="2" borderId="4" xfId="1" applyFont="1" applyBorder="1" applyAlignment="1">
      <alignment horizontal="center"/>
    </xf>
    <xf numFmtId="0" fontId="2" fillId="2" borderId="3" xfId="1" applyFont="1" applyBorder="1" applyAlignment="1">
      <alignment horizontal="center" vertical="center"/>
    </xf>
    <xf numFmtId="14" fontId="2" fillId="2" borderId="3" xfId="1" applyNumberFormat="1" applyFont="1" applyBorder="1" applyAlignment="1">
      <alignment horizontal="center" vertical="center"/>
    </xf>
    <xf numFmtId="10" fontId="2" fillId="2" borderId="3" xfId="1" applyNumberFormat="1" applyFont="1" applyBorder="1" applyAlignment="1">
      <alignment horizontal="center"/>
    </xf>
    <xf numFmtId="0" fontId="2" fillId="2" borderId="3" xfId="1" applyFont="1" applyBorder="1" applyAlignment="1">
      <alignment horizontal="center"/>
    </xf>
    <xf numFmtId="10" fontId="2" fillId="2" borderId="3" xfId="1" applyNumberFormat="1" applyFont="1" applyBorder="1" applyAlignment="1">
      <alignment horizontal="center" vertical="center"/>
    </xf>
    <xf numFmtId="4" fontId="2" fillId="2" borderId="3" xfId="1" applyNumberFormat="1" applyFont="1" applyBorder="1" applyAlignment="1">
      <alignment horizontal="center" vertical="center"/>
    </xf>
    <xf numFmtId="4" fontId="2" fillId="0" borderId="3" xfId="0" applyNumberFormat="1" applyFont="1" applyBorder="1"/>
    <xf numFmtId="4" fontId="2" fillId="2" borderId="3" xfId="1" applyNumberFormat="1" applyFont="1" applyBorder="1"/>
    <xf numFmtId="4" fontId="2" fillId="0" borderId="1" xfId="0" applyNumberFormat="1" applyFont="1" applyBorder="1"/>
    <xf numFmtId="4" fontId="0" fillId="0" borderId="0" xfId="0" applyNumberFormat="1"/>
    <xf numFmtId="0" fontId="5" fillId="0" borderId="0" xfId="0" pivotButton="1" applyFont="1"/>
    <xf numFmtId="0" fontId="5" fillId="0" borderId="0" xfId="0" applyFont="1"/>
    <xf numFmtId="0" fontId="5" fillId="0" borderId="0" xfId="0" applyFont="1" applyAlignment="1">
      <alignment horizontal="left"/>
    </xf>
    <xf numFmtId="4" fontId="5" fillId="0" borderId="0" xfId="0" applyNumberFormat="1" applyFont="1"/>
    <xf numFmtId="0" fontId="0" fillId="5" borderId="0" xfId="0" applyFill="1"/>
    <xf numFmtId="0" fontId="0" fillId="6" borderId="0" xfId="0" applyFill="1"/>
  </cellXfs>
  <cellStyles count="2">
    <cellStyle name="40% - Accent6" xfId="1" builtinId="51"/>
    <cellStyle name="Normal" xfId="0" builtinId="0"/>
  </cellStyles>
  <dxfs count="19">
    <dxf>
      <font>
        <sz val="14"/>
      </font>
    </dxf>
    <dxf>
      <font>
        <sz val="14"/>
      </font>
    </dxf>
    <dxf>
      <font>
        <sz val="14"/>
      </font>
    </dxf>
    <dxf>
      <font>
        <sz val="14"/>
      </font>
    </dxf>
    <dxf>
      <font>
        <sz val="14"/>
      </font>
    </dxf>
    <dxf>
      <font>
        <sz val="14"/>
      </font>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Dashboard_Practice.xlsx]FirmWise!PT_FIRM</c:name>
    <c:fmtId val="3"/>
  </c:pivotSource>
  <c:chart>
    <c:title>
      <c:tx>
        <c:rich>
          <a:bodyPr rot="0" spcFirstLastPara="1" vertOverflow="ellipsis" vert="horz" wrap="square" anchor="ctr" anchorCtr="1"/>
          <a:lstStyle/>
          <a:p>
            <a:pPr>
              <a:defRPr lang="en-US" sz="1400" b="1" i="0" u="sng" strike="noStrike" kern="1200" spc="0" baseline="0">
                <a:solidFill>
                  <a:sysClr val="windowText" lastClr="000000">
                    <a:lumMod val="65000"/>
                    <a:lumOff val="35000"/>
                  </a:sysClr>
                </a:solidFill>
                <a:latin typeface="+mn-lt"/>
                <a:ea typeface="+mn-ea"/>
                <a:cs typeface="+mn-cs"/>
              </a:defRPr>
            </a:pPr>
            <a:r>
              <a:rPr lang="en-US" sz="1400" b="1" i="0" u="sng" strike="noStrike" kern="1200" spc="0" baseline="0">
                <a:solidFill>
                  <a:sysClr val="windowText" lastClr="000000">
                    <a:lumMod val="65000"/>
                    <a:lumOff val="35000"/>
                  </a:sysClr>
                </a:solidFill>
                <a:latin typeface="+mn-lt"/>
                <a:ea typeface="+mn-ea"/>
                <a:cs typeface="+mn-cs"/>
              </a:rPr>
              <a:t>Firm Wise</a:t>
            </a:r>
          </a:p>
        </c:rich>
      </c:tx>
      <c:overlay val="0"/>
      <c:spPr>
        <a:noFill/>
        <a:ln>
          <a:noFill/>
        </a:ln>
        <a:effectLst/>
      </c:spPr>
      <c:txPr>
        <a:bodyPr rot="0" spcFirstLastPara="1" vertOverflow="ellipsis" vert="horz" wrap="square" anchor="ctr" anchorCtr="1"/>
        <a:lstStyle/>
        <a:p>
          <a:pPr>
            <a:defRPr lang="en-US" sz="14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FirmWise!$B$3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97-4165-A94D-D953D06FA8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97-4165-A94D-D953D06FA883}"/>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FirmWise!$A$4:$A$6</c:f>
              <c:strCache>
                <c:ptCount val="2"/>
                <c:pt idx="0">
                  <c:v>JK Enterprise</c:v>
                </c:pt>
                <c:pt idx="1">
                  <c:v>SR Hardware</c:v>
                </c:pt>
              </c:strCache>
            </c:strRef>
          </c:cat>
          <c:val>
            <c:numRef>
              <c:f>FirmWise!$B$4:$B$6</c:f>
              <c:numCache>
                <c:formatCode>#,##0.00</c:formatCode>
                <c:ptCount val="2"/>
                <c:pt idx="0">
                  <c:v>410376.47000000003</c:v>
                </c:pt>
                <c:pt idx="1">
                  <c:v>459587.38999999996</c:v>
                </c:pt>
              </c:numCache>
            </c:numRef>
          </c:val>
          <c:extLst>
            <c:ext xmlns:c16="http://schemas.microsoft.com/office/drawing/2014/chart" uri="{C3380CC4-5D6E-409C-BE32-E72D297353CC}">
              <c16:uniqueId val="{00000004-FF97-4165-A94D-D953D06FA8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Dashboard_Practice.xlsx]MonthWise!PT_Month</c:name>
    <c:fmtId val="3"/>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i="0" u="sng" baseline="0"/>
              <a:t>Month Wise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rgbClr val="FFC000"/>
            </a:solidFill>
            <a:ln>
              <a:noFill/>
            </a:ln>
            <a:effectLst/>
          </c:spPr>
          <c:txPr>
            <a:bodyPr rot="0" spcFirstLastPara="1" vertOverflow="ellipsis" horzOverflow="clip" vert="horz" wrap="square" lIns="38100" tIns="36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a:sp3d/>
        </c:spPr>
        <c:marker>
          <c:symbol val="none"/>
        </c:marker>
        <c:dLbl>
          <c:idx val="0"/>
          <c:spPr>
            <a:solidFill>
              <a:srgbClr val="FFC000"/>
            </a:solidFill>
            <a:ln>
              <a:noFill/>
            </a:ln>
            <a:effectLst/>
          </c:spPr>
          <c:txPr>
            <a:bodyPr rot="0" spcFirstLastPara="1" vertOverflow="ellipsis" horzOverflow="clip" vert="horz" wrap="square" lIns="38100" tIns="36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a:sp3d/>
        </c:spPr>
        <c:marker>
          <c:symbol val="none"/>
        </c:marker>
        <c:dLbl>
          <c:idx val="0"/>
          <c:spPr>
            <a:solidFill>
              <a:srgbClr val="FFC000"/>
            </a:solidFill>
            <a:ln>
              <a:noFill/>
            </a:ln>
            <a:effectLst/>
          </c:spPr>
          <c:txPr>
            <a:bodyPr rot="0" spcFirstLastPara="1" vertOverflow="ellipsis" horzOverflow="clip" vert="horz" wrap="square" lIns="38100" tIns="3600" rIns="38100" bIns="19050" anchor="ctr" anchorCtr="1">
              <a:spAutoFit/>
            </a:bodyPr>
            <a:lstStyle/>
            <a:p>
              <a:pPr>
                <a:defRPr sz="8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MonthWise!$B$3</c:f>
              <c:strCache>
                <c:ptCount val="1"/>
                <c:pt idx="0">
                  <c:v>Total</c:v>
                </c:pt>
              </c:strCache>
            </c:strRef>
          </c:tx>
          <c:spPr>
            <a:solidFill>
              <a:schemeClr val="accent1"/>
            </a:solidFill>
            <a:ln>
              <a:noFill/>
            </a:ln>
            <a:effectLst/>
            <a:sp3d/>
          </c:spPr>
          <c:invertIfNegative val="0"/>
          <c:dLbls>
            <c:spPr>
              <a:solidFill>
                <a:srgbClr val="FFC000"/>
              </a:solidFill>
              <a:ln>
                <a:noFill/>
              </a:ln>
              <a:effectLst/>
            </c:spPr>
            <c:txPr>
              <a:bodyPr rot="0" spcFirstLastPara="1" vertOverflow="ellipsis" horzOverflow="clip" vert="horz" wrap="square" lIns="38100" tIns="3600" rIns="38100" bIns="19050" anchor="ctr" anchorCtr="1">
                <a:spAutoFit/>
              </a:bodyPr>
              <a:lstStyle/>
              <a:p>
                <a:pPr>
                  <a:defRPr sz="8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MonthWise!$A$4:$A$8</c:f>
              <c:strCache>
                <c:ptCount val="4"/>
                <c:pt idx="0">
                  <c:v>Apr</c:v>
                </c:pt>
                <c:pt idx="1">
                  <c:v>May</c:v>
                </c:pt>
                <c:pt idx="2">
                  <c:v>Jun</c:v>
                </c:pt>
                <c:pt idx="3">
                  <c:v>Jul</c:v>
                </c:pt>
              </c:strCache>
            </c:strRef>
          </c:cat>
          <c:val>
            <c:numRef>
              <c:f>MonthWise!$B$4:$B$8</c:f>
              <c:numCache>
                <c:formatCode>#,##0.00</c:formatCode>
                <c:ptCount val="4"/>
                <c:pt idx="0">
                  <c:v>21004</c:v>
                </c:pt>
                <c:pt idx="1">
                  <c:v>229752.43999999997</c:v>
                </c:pt>
                <c:pt idx="2">
                  <c:v>389805.09</c:v>
                </c:pt>
                <c:pt idx="3">
                  <c:v>229402.33</c:v>
                </c:pt>
              </c:numCache>
            </c:numRef>
          </c:val>
          <c:extLst>
            <c:ext xmlns:c16="http://schemas.microsoft.com/office/drawing/2014/chart" uri="{C3380CC4-5D6E-409C-BE32-E72D297353CC}">
              <c16:uniqueId val="{00000000-1FDA-4D11-9C19-2C1320B91B81}"/>
            </c:ext>
          </c:extLst>
        </c:ser>
        <c:dLbls>
          <c:showLegendKey val="0"/>
          <c:showVal val="1"/>
          <c:showCatName val="0"/>
          <c:showSerName val="0"/>
          <c:showPercent val="0"/>
          <c:showBubbleSize val="0"/>
        </c:dLbls>
        <c:gapWidth val="150"/>
        <c:shape val="box"/>
        <c:axId val="1159507855"/>
        <c:axId val="1159511215"/>
        <c:axId val="0"/>
      </c:bar3DChart>
      <c:catAx>
        <c:axId val="1159507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511215"/>
        <c:crosses val="autoZero"/>
        <c:auto val="1"/>
        <c:lblAlgn val="ctr"/>
        <c:lblOffset val="100"/>
        <c:noMultiLvlLbl val="0"/>
      </c:catAx>
      <c:valAx>
        <c:axId val="1159511215"/>
        <c:scaling>
          <c:orientation val="minMax"/>
        </c:scaling>
        <c:delete val="1"/>
        <c:axPos val="l"/>
        <c:numFmt formatCode="#,##0.00" sourceLinked="1"/>
        <c:majorTickMark val="none"/>
        <c:minorTickMark val="none"/>
        <c:tickLblPos val="nextTo"/>
        <c:crossAx val="115950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Dashboard_Practice.xlsx]TaxWise!PT_Tax</c:name>
    <c:fmtId val="3"/>
  </c:pivotSource>
  <c:chart>
    <c:title>
      <c:tx>
        <c:rich>
          <a:bodyPr rot="0" spcFirstLastPara="1" vertOverflow="ellipsis" vert="horz" wrap="square" anchor="ctr" anchorCtr="1"/>
          <a:lstStyle/>
          <a:p>
            <a:pPr algn="ctr" rtl="0">
              <a:defRPr lang="en-IN" sz="1400" b="1" i="0" u="sng" strike="noStrike" kern="1200" spc="0" baseline="0">
                <a:solidFill>
                  <a:sysClr val="windowText" lastClr="000000">
                    <a:lumMod val="65000"/>
                    <a:lumOff val="35000"/>
                  </a:sysClr>
                </a:solidFill>
                <a:latin typeface="+mn-lt"/>
                <a:ea typeface="+mn-ea"/>
                <a:cs typeface="+mn-cs"/>
              </a:defRPr>
            </a:pPr>
            <a:r>
              <a:rPr lang="en-IN" sz="1400" b="1" i="0" u="sng" strike="noStrike" kern="1200" spc="0" baseline="0">
                <a:solidFill>
                  <a:sysClr val="windowText" lastClr="000000">
                    <a:lumMod val="65000"/>
                    <a:lumOff val="35000"/>
                  </a:sysClr>
                </a:solidFill>
                <a:latin typeface="+mn-lt"/>
                <a:ea typeface="+mn-ea"/>
                <a:cs typeface="+mn-cs"/>
              </a:rPr>
              <a:t>Tax Wise</a:t>
            </a:r>
          </a:p>
        </c:rich>
      </c:tx>
      <c:overlay val="0"/>
      <c:spPr>
        <a:noFill/>
        <a:ln>
          <a:noFill/>
        </a:ln>
        <a:effectLst/>
      </c:spPr>
      <c:txPr>
        <a:bodyPr rot="0" spcFirstLastPara="1" vertOverflow="ellipsis" vert="horz" wrap="square" anchor="ctr" anchorCtr="1"/>
        <a:lstStyle/>
        <a:p>
          <a:pPr algn="ctr" rtl="0">
            <a:defRPr lang="en-IN" sz="14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TaxWise!$B$3</c:f>
              <c:strCache>
                <c:ptCount val="1"/>
                <c:pt idx="0">
                  <c:v>Sum of IGST</c:v>
                </c:pt>
              </c:strCache>
            </c:strRef>
          </c:tx>
          <c:spPr>
            <a:solidFill>
              <a:schemeClr val="accent1"/>
            </a:solidFill>
            <a:ln>
              <a:noFill/>
            </a:ln>
            <a:effectLst/>
            <a:sp3d/>
          </c:spPr>
          <c:invertIfNegative val="0"/>
          <c:cat>
            <c:strRef>
              <c:f>TaxWise!$A$4:$A$11</c:f>
              <c:strCache>
                <c:ptCount val="7"/>
                <c:pt idx="0">
                  <c:v>0.00%</c:v>
                </c:pt>
                <c:pt idx="1">
                  <c:v>0.10%</c:v>
                </c:pt>
                <c:pt idx="2">
                  <c:v>3.00%</c:v>
                </c:pt>
                <c:pt idx="3">
                  <c:v>5.00%</c:v>
                </c:pt>
                <c:pt idx="4">
                  <c:v>12.00%</c:v>
                </c:pt>
                <c:pt idx="5">
                  <c:v>18.00%</c:v>
                </c:pt>
                <c:pt idx="6">
                  <c:v>28.00%</c:v>
                </c:pt>
              </c:strCache>
            </c:strRef>
          </c:cat>
          <c:val>
            <c:numRef>
              <c:f>TaxWise!$B$4:$B$11</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D2C7-47D2-AE3B-9E134B9032A3}"/>
            </c:ext>
          </c:extLst>
        </c:ser>
        <c:ser>
          <c:idx val="1"/>
          <c:order val="1"/>
          <c:tx>
            <c:strRef>
              <c:f>TaxWise!$C$3</c:f>
              <c:strCache>
                <c:ptCount val="1"/>
                <c:pt idx="0">
                  <c:v>Sum of CGST</c:v>
                </c:pt>
              </c:strCache>
            </c:strRef>
          </c:tx>
          <c:spPr>
            <a:solidFill>
              <a:schemeClr val="accent2"/>
            </a:solidFill>
            <a:ln>
              <a:noFill/>
            </a:ln>
            <a:effectLst/>
            <a:sp3d/>
          </c:spPr>
          <c:invertIfNegative val="0"/>
          <c:cat>
            <c:strRef>
              <c:f>TaxWise!$A$4:$A$11</c:f>
              <c:strCache>
                <c:ptCount val="7"/>
                <c:pt idx="0">
                  <c:v>0.00%</c:v>
                </c:pt>
                <c:pt idx="1">
                  <c:v>0.10%</c:v>
                </c:pt>
                <c:pt idx="2">
                  <c:v>3.00%</c:v>
                </c:pt>
                <c:pt idx="3">
                  <c:v>5.00%</c:v>
                </c:pt>
                <c:pt idx="4">
                  <c:v>12.00%</c:v>
                </c:pt>
                <c:pt idx="5">
                  <c:v>18.00%</c:v>
                </c:pt>
                <c:pt idx="6">
                  <c:v>28.00%</c:v>
                </c:pt>
              </c:strCache>
            </c:strRef>
          </c:cat>
          <c:val>
            <c:numRef>
              <c:f>TaxWise!$C$4:$C$11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1-D2C7-47D2-AE3B-9E134B9032A3}"/>
            </c:ext>
          </c:extLst>
        </c:ser>
        <c:ser>
          <c:idx val="2"/>
          <c:order val="2"/>
          <c:tx>
            <c:strRef>
              <c:f>TaxWise!$D$3</c:f>
              <c:strCache>
                <c:ptCount val="1"/>
                <c:pt idx="0">
                  <c:v>Sum of SGST</c:v>
                </c:pt>
              </c:strCache>
            </c:strRef>
          </c:tx>
          <c:spPr>
            <a:solidFill>
              <a:schemeClr val="accent3"/>
            </a:solidFill>
            <a:ln>
              <a:noFill/>
            </a:ln>
            <a:effectLst/>
            <a:sp3d/>
          </c:spPr>
          <c:invertIfNegative val="0"/>
          <c:cat>
            <c:strRef>
              <c:f>TaxWise!$A$4:$A$11</c:f>
              <c:strCache>
                <c:ptCount val="7"/>
                <c:pt idx="0">
                  <c:v>0.00%</c:v>
                </c:pt>
                <c:pt idx="1">
                  <c:v>0.10%</c:v>
                </c:pt>
                <c:pt idx="2">
                  <c:v>3.00%</c:v>
                </c:pt>
                <c:pt idx="3">
                  <c:v>5.00%</c:v>
                </c:pt>
                <c:pt idx="4">
                  <c:v>12.00%</c:v>
                </c:pt>
                <c:pt idx="5">
                  <c:v>18.00%</c:v>
                </c:pt>
                <c:pt idx="6">
                  <c:v>28.00%</c:v>
                </c:pt>
              </c:strCache>
            </c:strRef>
          </c:cat>
          <c:val>
            <c:numRef>
              <c:f>TaxWise!$D$4:$D$11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D2C7-47D2-AE3B-9E134B9032A3}"/>
            </c:ext>
          </c:extLst>
        </c:ser>
        <c:ser>
          <c:idx val="3"/>
          <c:order val="3"/>
          <c:tx>
            <c:strRef>
              <c:f>TaxWise!$E$3</c:f>
              <c:strCache>
                <c:ptCount val="1"/>
                <c:pt idx="0">
                  <c:v>Sum of TOTAL</c:v>
                </c:pt>
              </c:strCache>
            </c:strRef>
          </c:tx>
          <c:spPr>
            <a:solidFill>
              <a:schemeClr val="accent4"/>
            </a:solidFill>
            <a:ln>
              <a:noFill/>
            </a:ln>
            <a:effectLst/>
            <a:sp3d/>
          </c:spPr>
          <c:invertIfNegative val="0"/>
          <c:cat>
            <c:strRef>
              <c:f>TaxWise!$A$4:$A$11</c:f>
              <c:strCache>
                <c:ptCount val="7"/>
                <c:pt idx="0">
                  <c:v>0.00%</c:v>
                </c:pt>
                <c:pt idx="1">
                  <c:v>0.10%</c:v>
                </c:pt>
                <c:pt idx="2">
                  <c:v>3.00%</c:v>
                </c:pt>
                <c:pt idx="3">
                  <c:v>5.00%</c:v>
                </c:pt>
                <c:pt idx="4">
                  <c:v>12.00%</c:v>
                </c:pt>
                <c:pt idx="5">
                  <c:v>18.00%</c:v>
                </c:pt>
                <c:pt idx="6">
                  <c:v>28.00%</c:v>
                </c:pt>
              </c:strCache>
            </c:strRef>
          </c:cat>
          <c:val>
            <c:numRef>
              <c:f>TaxWise!$E$4:$E$11</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3-D2C7-47D2-AE3B-9E134B9032A3}"/>
            </c:ext>
          </c:extLst>
        </c:ser>
        <c:dLbls>
          <c:showLegendKey val="0"/>
          <c:showVal val="0"/>
          <c:showCatName val="0"/>
          <c:showSerName val="0"/>
          <c:showPercent val="0"/>
          <c:showBubbleSize val="0"/>
        </c:dLbls>
        <c:gapWidth val="150"/>
        <c:shape val="box"/>
        <c:axId val="1077608303"/>
        <c:axId val="1077603983"/>
        <c:axId val="0"/>
      </c:bar3DChart>
      <c:catAx>
        <c:axId val="1077608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03983"/>
        <c:crosses val="autoZero"/>
        <c:auto val="1"/>
        <c:lblAlgn val="ctr"/>
        <c:lblOffset val="100"/>
        <c:noMultiLvlLbl val="0"/>
      </c:catAx>
      <c:valAx>
        <c:axId val="1077603983"/>
        <c:scaling>
          <c:orientation val="minMax"/>
        </c:scaling>
        <c:delete val="1"/>
        <c:axPos val="l"/>
        <c:numFmt formatCode="#,##0.00" sourceLinked="1"/>
        <c:majorTickMark val="none"/>
        <c:minorTickMark val="none"/>
        <c:tickLblPos val="nextTo"/>
        <c:crossAx val="107760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Dashboard_Practice.xlsx]ProductWise!PT_Product</c:name>
    <c:fmtId val="3"/>
  </c:pivotSource>
  <c:chart>
    <c:title>
      <c:tx>
        <c:rich>
          <a:bodyPr rot="0" spcFirstLastPara="1" vertOverflow="ellipsis" vert="horz" wrap="square" anchor="ctr" anchorCtr="1"/>
          <a:lstStyle/>
          <a:p>
            <a:pPr algn="ctr" rtl="0">
              <a:defRPr lang="en-IN" sz="1400" b="1" i="0" u="sng" strike="noStrike" kern="1200" spc="0" baseline="0">
                <a:solidFill>
                  <a:sysClr val="windowText" lastClr="000000">
                    <a:lumMod val="65000"/>
                    <a:lumOff val="35000"/>
                  </a:sysClr>
                </a:solidFill>
                <a:latin typeface="+mn-lt"/>
                <a:ea typeface="+mn-ea"/>
                <a:cs typeface="+mn-cs"/>
              </a:defRPr>
            </a:pPr>
            <a:r>
              <a:rPr lang="en-IN" sz="1400" b="1" i="0" u="sng" strike="noStrike" kern="1200" spc="0" baseline="0">
                <a:solidFill>
                  <a:sysClr val="windowText" lastClr="000000">
                    <a:lumMod val="65000"/>
                    <a:lumOff val="35000"/>
                  </a:sysClr>
                </a:solidFill>
                <a:latin typeface="+mn-lt"/>
                <a:ea typeface="+mn-ea"/>
                <a:cs typeface="+mn-cs"/>
              </a:rPr>
              <a:t>Product Wise</a:t>
            </a:r>
          </a:p>
        </c:rich>
      </c:tx>
      <c:overlay val="0"/>
      <c:spPr>
        <a:noFill/>
        <a:ln>
          <a:noFill/>
        </a:ln>
        <a:effectLst/>
      </c:spPr>
      <c:txPr>
        <a:bodyPr rot="0" spcFirstLastPara="1" vertOverflow="ellipsis" vert="horz" wrap="square" anchor="ctr" anchorCtr="1"/>
        <a:lstStyle/>
        <a:p>
          <a:pPr algn="ctr" rtl="0">
            <a:defRPr lang="en-IN" sz="14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ProductWise!$B$3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3C-4326-AA66-B101AF57CF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3C-4326-AA66-B101AF57CF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ProductWise!$A$4:$A$6</c:f>
              <c:strCache>
                <c:ptCount val="2"/>
                <c:pt idx="0">
                  <c:v>Plywood 4mm</c:v>
                </c:pt>
                <c:pt idx="1">
                  <c:v>Plywood 6mm</c:v>
                </c:pt>
              </c:strCache>
            </c:strRef>
          </c:cat>
          <c:val>
            <c:numRef>
              <c:f>ProductWise!$B$4:$B$6</c:f>
              <c:numCache>
                <c:formatCode>#,##0.00</c:formatCode>
                <c:ptCount val="2"/>
                <c:pt idx="0">
                  <c:v>427057.24</c:v>
                </c:pt>
                <c:pt idx="1">
                  <c:v>442906.61999999994</c:v>
                </c:pt>
              </c:numCache>
            </c:numRef>
          </c:val>
          <c:extLst>
            <c:ext xmlns:c16="http://schemas.microsoft.com/office/drawing/2014/chart" uri="{C3380CC4-5D6E-409C-BE32-E72D297353CC}">
              <c16:uniqueId val="{00000004-F23C-4326-AA66-B101AF57CF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Dashboard_Practice.xlsx]StateWise!PT_State</c:name>
    <c:fmtId val="3"/>
  </c:pivotSource>
  <c:chart>
    <c:title>
      <c:tx>
        <c:rich>
          <a:bodyPr rot="0" spcFirstLastPara="1" vertOverflow="ellipsis" vert="horz" wrap="square" anchor="ctr" anchorCtr="1"/>
          <a:lstStyle/>
          <a:p>
            <a:pPr algn="ctr" rtl="0">
              <a:defRPr lang="en-US" sz="1400" b="1" i="0" u="sng" strike="noStrike" kern="1200" spc="0" baseline="0">
                <a:solidFill>
                  <a:sysClr val="windowText" lastClr="000000">
                    <a:lumMod val="65000"/>
                    <a:lumOff val="35000"/>
                  </a:sysClr>
                </a:solidFill>
                <a:latin typeface="+mn-lt"/>
                <a:ea typeface="+mn-ea"/>
                <a:cs typeface="+mn-cs"/>
              </a:defRPr>
            </a:pPr>
            <a:r>
              <a:rPr lang="en-US" sz="1400" b="1" i="0" u="sng" strike="noStrike" kern="1200" spc="0" baseline="0">
                <a:solidFill>
                  <a:sysClr val="windowText" lastClr="000000">
                    <a:lumMod val="65000"/>
                    <a:lumOff val="35000"/>
                  </a:sysClr>
                </a:solidFill>
                <a:latin typeface="+mn-lt"/>
                <a:ea typeface="+mn-ea"/>
                <a:cs typeface="+mn-cs"/>
              </a:rPr>
              <a:t>State Wise</a:t>
            </a:r>
          </a:p>
        </c:rich>
      </c:tx>
      <c:layout>
        <c:manualLayout>
          <c:xMode val="edge"/>
          <c:yMode val="edge"/>
          <c:x val="0.38953807096531068"/>
          <c:y val="3.8352686676165919E-2"/>
        </c:manualLayout>
      </c:layout>
      <c:overlay val="0"/>
      <c:spPr>
        <a:noFill/>
        <a:ln>
          <a:noFill/>
        </a:ln>
        <a:effectLst/>
      </c:spPr>
      <c:txPr>
        <a:bodyPr rot="0" spcFirstLastPara="1" vertOverflow="ellipsis" vert="horz" wrap="square" anchor="ctr" anchorCtr="1"/>
        <a:lstStyle/>
        <a:p>
          <a:pPr algn="ctr" rtl="0">
            <a:defRPr lang="en-US" sz="14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996516258568076"/>
          <c:y val="0.21460222794047359"/>
          <c:w val="0.73977063152785993"/>
          <c:h val="0.70595086205651392"/>
        </c:manualLayout>
      </c:layout>
      <c:bar3DChart>
        <c:barDir val="bar"/>
        <c:grouping val="stacked"/>
        <c:varyColors val="0"/>
        <c:ser>
          <c:idx val="0"/>
          <c:order val="0"/>
          <c:tx>
            <c:strRef>
              <c:f>StateWise!$B$3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StateWise!$A$4:$A$6</c:f>
              <c:strCache>
                <c:ptCount val="2"/>
                <c:pt idx="0">
                  <c:v>INTERSTATE</c:v>
                </c:pt>
                <c:pt idx="1">
                  <c:v>Local</c:v>
                </c:pt>
              </c:strCache>
            </c:strRef>
          </c:cat>
          <c:val>
            <c:numRef>
              <c:f>StateWise!$B$4:$B$6</c:f>
              <c:numCache>
                <c:formatCode>#,##0.00</c:formatCode>
                <c:ptCount val="2"/>
                <c:pt idx="0">
                  <c:v>139553.4</c:v>
                </c:pt>
                <c:pt idx="1">
                  <c:v>730410.46</c:v>
                </c:pt>
              </c:numCache>
            </c:numRef>
          </c:val>
          <c:extLst>
            <c:ext xmlns:c16="http://schemas.microsoft.com/office/drawing/2014/chart" uri="{C3380CC4-5D6E-409C-BE32-E72D297353CC}">
              <c16:uniqueId val="{00000000-F301-4573-A8E8-A13DDE47F52D}"/>
            </c:ext>
          </c:extLst>
        </c:ser>
        <c:dLbls>
          <c:showLegendKey val="0"/>
          <c:showVal val="1"/>
          <c:showCatName val="0"/>
          <c:showSerName val="0"/>
          <c:showPercent val="0"/>
          <c:showBubbleSize val="0"/>
        </c:dLbls>
        <c:gapWidth val="150"/>
        <c:shape val="box"/>
        <c:axId val="1159514095"/>
        <c:axId val="1482290255"/>
        <c:axId val="0"/>
      </c:bar3DChart>
      <c:catAx>
        <c:axId val="1159514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82290255"/>
        <c:crosses val="autoZero"/>
        <c:auto val="1"/>
        <c:lblAlgn val="ctr"/>
        <c:lblOffset val="100"/>
        <c:noMultiLvlLbl val="0"/>
      </c:catAx>
      <c:valAx>
        <c:axId val="1482290255"/>
        <c:scaling>
          <c:orientation val="minMax"/>
        </c:scaling>
        <c:delete val="1"/>
        <c:axPos val="b"/>
        <c:numFmt formatCode="#,##0.00" sourceLinked="1"/>
        <c:majorTickMark val="none"/>
        <c:minorTickMark val="none"/>
        <c:tickLblPos val="nextTo"/>
        <c:crossAx val="115951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5</xdr:row>
      <xdr:rowOff>0</xdr:rowOff>
    </xdr:from>
    <xdr:to>
      <xdr:col>5</xdr:col>
      <xdr:colOff>601980</xdr:colOff>
      <xdr:row>15</xdr:row>
      <xdr:rowOff>15240</xdr:rowOff>
    </xdr:to>
    <xdr:graphicFrame macro="">
      <xdr:nvGraphicFramePr>
        <xdr:cNvPr id="2" name="PT_Firm">
          <a:extLst>
            <a:ext uri="{FF2B5EF4-FFF2-40B4-BE49-F238E27FC236}">
              <a16:creationId xmlns:a16="http://schemas.microsoft.com/office/drawing/2014/main" id="{61DA4929-0CE4-4B25-AE34-A08AE37DD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601980</xdr:colOff>
      <xdr:row>5</xdr:row>
      <xdr:rowOff>0</xdr:rowOff>
    </xdr:from>
    <xdr:to>
      <xdr:col>11</xdr:col>
      <xdr:colOff>7620</xdr:colOff>
      <xdr:row>15</xdr:row>
      <xdr:rowOff>22860</xdr:rowOff>
    </xdr:to>
    <xdr:graphicFrame macro="">
      <xdr:nvGraphicFramePr>
        <xdr:cNvPr id="3" name="PT_Month">
          <a:extLst>
            <a:ext uri="{FF2B5EF4-FFF2-40B4-BE49-F238E27FC236}">
              <a16:creationId xmlns:a16="http://schemas.microsoft.com/office/drawing/2014/main" id="{66C9EF6F-ACFF-4918-BB1E-D04E94D86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15</xdr:row>
      <xdr:rowOff>6051</xdr:rowOff>
    </xdr:from>
    <xdr:to>
      <xdr:col>8</xdr:col>
      <xdr:colOff>325438</xdr:colOff>
      <xdr:row>26</xdr:row>
      <xdr:rowOff>96253</xdr:rowOff>
    </xdr:to>
    <xdr:graphicFrame macro="">
      <xdr:nvGraphicFramePr>
        <xdr:cNvPr id="4" name="Chart 3">
          <a:extLst>
            <a:ext uri="{FF2B5EF4-FFF2-40B4-BE49-F238E27FC236}">
              <a16:creationId xmlns:a16="http://schemas.microsoft.com/office/drawing/2014/main" id="{CD082B4B-DEA1-49DD-AC02-DEB84DC7E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590939</xdr:colOff>
      <xdr:row>5</xdr:row>
      <xdr:rowOff>0</xdr:rowOff>
    </xdr:from>
    <xdr:to>
      <xdr:col>14</xdr:col>
      <xdr:colOff>434029</xdr:colOff>
      <xdr:row>15</xdr:row>
      <xdr:rowOff>22860</xdr:rowOff>
    </xdr:to>
    <xdr:graphicFrame macro="">
      <xdr:nvGraphicFramePr>
        <xdr:cNvPr id="5" name="Chart 4">
          <a:extLst>
            <a:ext uri="{FF2B5EF4-FFF2-40B4-BE49-F238E27FC236}">
              <a16:creationId xmlns:a16="http://schemas.microsoft.com/office/drawing/2014/main" id="{3E80C522-908B-45A8-BA1F-46D063407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329255</xdr:colOff>
      <xdr:row>15</xdr:row>
      <xdr:rowOff>30547</xdr:rowOff>
    </xdr:from>
    <xdr:to>
      <xdr:col>14</xdr:col>
      <xdr:colOff>443555</xdr:colOff>
      <xdr:row>26</xdr:row>
      <xdr:rowOff>96456</xdr:rowOff>
    </xdr:to>
    <xdr:graphicFrame macro="">
      <xdr:nvGraphicFramePr>
        <xdr:cNvPr id="6" name="Chart 5">
          <a:extLst>
            <a:ext uri="{FF2B5EF4-FFF2-40B4-BE49-F238E27FC236}">
              <a16:creationId xmlns:a16="http://schemas.microsoft.com/office/drawing/2014/main" id="{91A74D57-BCF1-4894-B8A0-AF8911962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159775</xdr:colOff>
      <xdr:row>0</xdr:row>
      <xdr:rowOff>98323</xdr:rowOff>
    </xdr:from>
    <xdr:to>
      <xdr:col>16</xdr:col>
      <xdr:colOff>393291</xdr:colOff>
      <xdr:row>4</xdr:row>
      <xdr:rowOff>122904</xdr:rowOff>
    </xdr:to>
    <xdr:sp macro="" textlink="">
      <xdr:nvSpPr>
        <xdr:cNvPr id="7" name="TextBox 6">
          <a:extLst>
            <a:ext uri="{FF2B5EF4-FFF2-40B4-BE49-F238E27FC236}">
              <a16:creationId xmlns:a16="http://schemas.microsoft.com/office/drawing/2014/main" id="{CDB77EA2-6CAD-040C-BEBB-90C73106BC82}"/>
            </a:ext>
          </a:extLst>
        </xdr:cNvPr>
        <xdr:cNvSpPr txBox="1"/>
      </xdr:nvSpPr>
      <xdr:spPr>
        <a:xfrm>
          <a:off x="159775" y="98323"/>
          <a:ext cx="10065774" cy="7620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a:latin typeface="Algerian" panose="04020705040A02060702" pitchFamily="82" charset="0"/>
            </a:rPr>
            <a:t>SALES ANALYSIS DASHBOARD</a:t>
          </a:r>
        </a:p>
      </xdr:txBody>
    </xdr:sp>
    <xdr:clientData/>
  </xdr:twoCellAnchor>
  <xdr:twoCellAnchor editAs="oneCell">
    <xdr:from>
      <xdr:col>14</xdr:col>
      <xdr:colOff>439492</xdr:colOff>
      <xdr:row>4</xdr:row>
      <xdr:rowOff>178174</xdr:rowOff>
    </xdr:from>
    <xdr:to>
      <xdr:col>17</xdr:col>
      <xdr:colOff>4062</xdr:colOff>
      <xdr:row>10</xdr:row>
      <xdr:rowOff>15615</xdr:rowOff>
    </xdr:to>
    <mc:AlternateContent xmlns:mc="http://schemas.openxmlformats.org/markup-compatibility/2006">
      <mc:Choice xmlns:a14="http://schemas.microsoft.com/office/drawing/2010/main" Requires="a14">
        <xdr:graphicFrame macro="">
          <xdr:nvGraphicFramePr>
            <xdr:cNvPr id="11" name="Description of Goods">
              <a:extLst>
                <a:ext uri="{FF2B5EF4-FFF2-40B4-BE49-F238E27FC236}">
                  <a16:creationId xmlns:a16="http://schemas.microsoft.com/office/drawing/2014/main" id="{B0D051CD-8023-4AB2-855D-681F41B49022}"/>
                </a:ext>
              </a:extLst>
            </xdr:cNvPr>
            <xdr:cNvGraphicFramePr/>
          </xdr:nvGraphicFramePr>
          <xdr:xfrm>
            <a:off x="0" y="0"/>
            <a:ext cx="0" cy="0"/>
          </xdr:xfrm>
          <a:graphic>
            <a:graphicData uri="http://schemas.microsoft.com/office/drawing/2010/slicer">
              <sle:slicer xmlns:sle="http://schemas.microsoft.com/office/drawing/2010/slicer" name="Description of Goods"/>
            </a:graphicData>
          </a:graphic>
        </xdr:graphicFrame>
      </mc:Choice>
      <mc:Fallback>
        <xdr:sp macro="" textlink="">
          <xdr:nvSpPr>
            <xdr:cNvPr id="0" name=""/>
            <xdr:cNvSpPr>
              <a:spLocks noTextEdit="1"/>
            </xdr:cNvSpPr>
          </xdr:nvSpPr>
          <xdr:spPr>
            <a:xfrm>
              <a:off x="9006219" y="917083"/>
              <a:ext cx="1400298" cy="945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21</xdr:row>
      <xdr:rowOff>83507</xdr:rowOff>
    </xdr:from>
    <xdr:to>
      <xdr:col>2</xdr:col>
      <xdr:colOff>16042</xdr:colOff>
      <xdr:row>26</xdr:row>
      <xdr:rowOff>104274</xdr:rowOff>
    </xdr:to>
    <mc:AlternateContent xmlns:mc="http://schemas.openxmlformats.org/markup-compatibility/2006">
      <mc:Choice xmlns:a14="http://schemas.microsoft.com/office/drawing/2010/main" Requires="a14">
        <xdr:graphicFrame macro="">
          <xdr:nvGraphicFramePr>
            <xdr:cNvPr id="12" name="State">
              <a:extLst>
                <a:ext uri="{FF2B5EF4-FFF2-40B4-BE49-F238E27FC236}">
                  <a16:creationId xmlns:a16="http://schemas.microsoft.com/office/drawing/2014/main" id="{45C57F7B-A327-4B35-B1BC-8B8901FDC35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 y="3962780"/>
              <a:ext cx="1239859" cy="944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445200</xdr:colOff>
      <xdr:row>10</xdr:row>
      <xdr:rowOff>18738</xdr:rowOff>
    </xdr:from>
    <xdr:to>
      <xdr:col>17</xdr:col>
      <xdr:colOff>7855</xdr:colOff>
      <xdr:row>26</xdr:row>
      <xdr:rowOff>102349</xdr:rowOff>
    </xdr:to>
    <mc:AlternateContent xmlns:mc="http://schemas.openxmlformats.org/markup-compatibility/2006">
      <mc:Choice xmlns:a14="http://schemas.microsoft.com/office/drawing/2010/main" Requires="a14">
        <xdr:graphicFrame macro="">
          <xdr:nvGraphicFramePr>
            <xdr:cNvPr id="14" name="Date">
              <a:extLst>
                <a:ext uri="{FF2B5EF4-FFF2-40B4-BE49-F238E27FC236}">
                  <a16:creationId xmlns:a16="http://schemas.microsoft.com/office/drawing/2014/main" id="{F201D1B5-F16F-4F73-9214-4BD019EFE613}"/>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9011927" y="1866011"/>
              <a:ext cx="1398383" cy="3039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0</xdr:rowOff>
    </xdr:from>
    <xdr:to>
      <xdr:col>2</xdr:col>
      <xdr:colOff>15550</xdr:colOff>
      <xdr:row>16</xdr:row>
      <xdr:rowOff>120804</xdr:rowOff>
    </xdr:to>
    <mc:AlternateContent xmlns:mc="http://schemas.openxmlformats.org/markup-compatibility/2006">
      <mc:Choice xmlns:a14="http://schemas.microsoft.com/office/drawing/2010/main" Requires="a14">
        <xdr:graphicFrame macro="">
          <xdr:nvGraphicFramePr>
            <xdr:cNvPr id="15" name="Tax Rate">
              <a:extLst>
                <a:ext uri="{FF2B5EF4-FFF2-40B4-BE49-F238E27FC236}">
                  <a16:creationId xmlns:a16="http://schemas.microsoft.com/office/drawing/2014/main" id="{92BF3EE2-AC29-41A3-8AA8-42512BE03CBF}"/>
                </a:ext>
              </a:extLst>
            </xdr:cNvPr>
            <xdr:cNvGraphicFramePr/>
          </xdr:nvGraphicFramePr>
          <xdr:xfrm>
            <a:off x="0" y="0"/>
            <a:ext cx="0" cy="0"/>
          </xdr:xfrm>
          <a:graphic>
            <a:graphicData uri="http://schemas.microsoft.com/office/drawing/2010/slicer">
              <sle:slicer xmlns:sle="http://schemas.microsoft.com/office/drawing/2010/slicer" name="Tax Rate"/>
            </a:graphicData>
          </a:graphic>
        </xdr:graphicFrame>
      </mc:Choice>
      <mc:Fallback>
        <xdr:sp macro="" textlink="">
          <xdr:nvSpPr>
            <xdr:cNvPr id="0" name=""/>
            <xdr:cNvSpPr>
              <a:spLocks noTextEdit="1"/>
            </xdr:cNvSpPr>
          </xdr:nvSpPr>
          <xdr:spPr>
            <a:xfrm>
              <a:off x="0" y="923636"/>
              <a:ext cx="1239368" cy="2152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124691</xdr:rowOff>
    </xdr:from>
    <xdr:to>
      <xdr:col>2</xdr:col>
      <xdr:colOff>9293</xdr:colOff>
      <xdr:row>21</xdr:row>
      <xdr:rowOff>88232</xdr:rowOff>
    </xdr:to>
    <mc:AlternateContent xmlns:mc="http://schemas.openxmlformats.org/markup-compatibility/2006">
      <mc:Choice xmlns:a14="http://schemas.microsoft.com/office/drawing/2010/main" Requires="a14">
        <xdr:graphicFrame macro="">
          <xdr:nvGraphicFramePr>
            <xdr:cNvPr id="16" name="Firm Name ">
              <a:extLst>
                <a:ext uri="{FF2B5EF4-FFF2-40B4-BE49-F238E27FC236}">
                  <a16:creationId xmlns:a16="http://schemas.microsoft.com/office/drawing/2014/main" id="{CAB44AE9-F6C6-44F9-9677-CB790285D10D}"/>
                </a:ext>
              </a:extLst>
            </xdr:cNvPr>
            <xdr:cNvGraphicFramePr/>
          </xdr:nvGraphicFramePr>
          <xdr:xfrm>
            <a:off x="0" y="0"/>
            <a:ext cx="0" cy="0"/>
          </xdr:xfrm>
          <a:graphic>
            <a:graphicData uri="http://schemas.microsoft.com/office/drawing/2010/slicer">
              <sle:slicer xmlns:sle="http://schemas.microsoft.com/office/drawing/2010/slicer" name="Firm Name "/>
            </a:graphicData>
          </a:graphic>
        </xdr:graphicFrame>
      </mc:Choice>
      <mc:Fallback>
        <xdr:sp macro="" textlink="">
          <xdr:nvSpPr>
            <xdr:cNvPr id="0" name=""/>
            <xdr:cNvSpPr>
              <a:spLocks noTextEdit="1"/>
            </xdr:cNvSpPr>
          </xdr:nvSpPr>
          <xdr:spPr>
            <a:xfrm>
              <a:off x="0" y="3080327"/>
              <a:ext cx="1233111" cy="887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a Priyadarshini" refreshedDate="45983.71302372685" createdVersion="8" refreshedVersion="8" minRefreshableVersion="3" recordCount="36" xr:uid="{AB0FFB02-E519-4C04-A8C6-77B58243E92D}">
  <cacheSource type="worksheet">
    <worksheetSource ref="A1:P37" sheet="DATA"/>
  </cacheSource>
  <cacheFields count="19">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8"/>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 name="Months (Date)" numFmtId="0" databaseField="0">
      <fieldGroup base="3">
        <rangePr groupBy="months" startDate="2020-04-01T00:00:00" endDate="2021-07-04T00:00:00"/>
        <groupItems count="14">
          <s v="&lt;01-04-2020"/>
          <s v="Jan"/>
          <s v="Feb"/>
          <s v="Mar"/>
          <s v="Apr"/>
          <s v="May"/>
          <s v="Jun"/>
          <s v="Jul"/>
          <s v="Aug"/>
          <s v="Sep"/>
          <s v="Oct"/>
          <s v="Nov"/>
          <s v="Dec"/>
          <s v="&gt;04-07-2021"/>
        </groupItems>
      </fieldGroup>
    </cacheField>
    <cacheField name="Quarters (Date)" numFmtId="0" databaseField="0">
      <fieldGroup base="3">
        <rangePr groupBy="quarters" startDate="2020-04-01T00:00:00" endDate="2021-07-04T00:00:00"/>
        <groupItems count="6">
          <s v="&lt;01-04-2020"/>
          <s v="Qtr1"/>
          <s v="Qtr2"/>
          <s v="Qtr3"/>
          <s v="Qtr4"/>
          <s v="&gt;04-07-2021"/>
        </groupItems>
      </fieldGroup>
    </cacheField>
    <cacheField name="Years (Date)" numFmtId="0" databaseField="0">
      <fieldGroup base="3">
        <rangePr groupBy="years" startDate="2020-04-01T00:00:00" endDate="2021-07-04T00:00:00"/>
        <groupItems count="4">
          <s v="&lt;01-04-2020"/>
          <s v="2020"/>
          <s v="2021"/>
          <s v="&gt;04-07-2021"/>
        </groupItems>
      </fieldGroup>
    </cacheField>
  </cacheFields>
  <extLst>
    <ext xmlns:x14="http://schemas.microsoft.com/office/spreadsheetml/2009/9/main" uri="{725AE2AE-9491-48be-B2B4-4EB974FC3084}">
      <x14:pivotCacheDefinition pivotCacheId="396483567"/>
    </ext>
  </extLst>
</pivotCacheDefinition>
</file>

<file path=xl/pivotCache/pivotCacheRecords1.xml><?xml version="1.0" encoding="utf-8"?>
<pivotCacheRecords xmlns="http://schemas.openxmlformats.org/spreadsheetml/2006/main" xmlns:r="http://schemas.openxmlformats.org/officeDocument/2006/relationships"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FIRM"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
  <location ref="A3:B6" firstHeaderRow="1" firstDataRow="1" firstDataCol="1"/>
  <pivotFields count="16">
    <pivotField axis="axisRow"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0"/>
  </rowFields>
  <rowItems count="3">
    <i>
      <x/>
    </i>
    <i>
      <x v="1"/>
    </i>
    <i t="grand">
      <x/>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48C143-0FE7-41C7-96AB-CA968F6B71BC}" name="PT_FIRM"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9">
    <pivotField axis="axisRow"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3">
    <i>
      <x/>
    </i>
    <i>
      <x v="1"/>
    </i>
    <i t="grand">
      <x/>
    </i>
  </rowItems>
  <colItems count="1">
    <i/>
  </colItems>
  <dataFields count="1">
    <dataField name="Sum of TOTAL" fld="14" baseField="0" baseItem="0" numFmtId="4"/>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37421F-D56D-4274-BBC2-69E32AA42BCE}" name="PT_Month"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5">
    <i>
      <x v="4"/>
    </i>
    <i>
      <x v="5"/>
    </i>
    <i>
      <x v="6"/>
    </i>
    <i>
      <x v="7"/>
    </i>
    <i t="grand">
      <x/>
    </i>
  </rowItems>
  <colItems count="1">
    <i/>
  </colItems>
  <dataFields count="1">
    <dataField name="Sum of TOTAL" fld="14" baseField="0" baseItem="0" numFmtId="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027DE1-1562-49EF-818B-A7DD7B961A2B}" name="PT_Tax"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11" firstHeaderRow="0"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Sum of IGST" fld="10" baseField="0" baseItem="0" numFmtId="4"/>
    <dataField name="Sum of CGST" fld="11" baseField="0" baseItem="0" numFmtId="4"/>
    <dataField name="Sum of SGST" fld="12" baseField="0" baseItem="0" numFmtId="4"/>
    <dataField name="Sum of TOTAL" fld="14" baseField="0" baseItem="0" numFmtId="4"/>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28B419-B8C4-478E-A384-1BF6FAD42369}" name="PT_Produc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5"/>
  </rowFields>
  <rowItems count="3">
    <i>
      <x/>
    </i>
    <i>
      <x v="1"/>
    </i>
    <i t="grand">
      <x/>
    </i>
  </rowItems>
  <colItems count="1">
    <i/>
  </colItems>
  <dataFields count="1">
    <dataField name="Sum of TOTAL" fld="14" baseField="0" baseItem="0" numFmtId="4"/>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4345F3-5485-49A4-B7F2-AFEA778C051B}" name="PT_Stat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9">
    <pivotField showAll="0">
      <items count="3">
        <item x="0"/>
        <item x="1"/>
        <item t="default"/>
      </items>
    </pivotField>
    <pivotField axis="axisRow"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1"/>
  </rowFields>
  <rowItems count="3">
    <i>
      <x/>
    </i>
    <i>
      <x v="1"/>
    </i>
    <i t="grand">
      <x/>
    </i>
  </rowItems>
  <colItems count="1">
    <i/>
  </colItems>
  <dataFields count="1">
    <dataField name="Sum of TOTAL" fld="14" baseField="0" baseItem="0" numFmtId="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8C08BB6C-8BF2-4CA5-A607-CFC906BC7302}" sourceName="Description of Goods">
  <pivotTables>
    <pivotTable tabId="13" name="PT_State"/>
    <pivotTable tabId="8" name="PT_FIRM"/>
    <pivotTable tabId="10" name="PT_Month"/>
    <pivotTable tabId="12" name="PT_Product"/>
    <pivotTable tabId="11" name="PT_Tax"/>
  </pivotTables>
  <data>
    <tabular pivotCacheId="39648356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0E85490-B8AF-4924-8C3B-A4A31E05FE56}" sourceName="State">
  <pivotTables>
    <pivotTable tabId="13" name="PT_State"/>
    <pivotTable tabId="8" name="PT_FIRM"/>
    <pivotTable tabId="10" name="PT_Month"/>
    <pivotTable tabId="12" name="PT_Product"/>
    <pivotTable tabId="11" name="PT_Tax"/>
  </pivotTables>
  <data>
    <tabular pivotCacheId="39648356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086F574-4621-4877-B347-7088D78375DC}" sourceName="Date">
  <pivotTables>
    <pivotTable tabId="13" name="PT_State"/>
    <pivotTable tabId="8" name="PT_FIRM"/>
    <pivotTable tabId="10" name="PT_Month"/>
    <pivotTable tabId="12" name="PT_Product"/>
    <pivotTable tabId="11" name="PT_Tax"/>
  </pivotTables>
  <data>
    <tabular pivotCacheId="396483567">
      <items count="36">
        <i x="0" s="1"/>
        <i x="3" s="1"/>
        <i x="6" s="1"/>
        <i x="9" s="1"/>
        <i x="12" s="1"/>
        <i x="15" s="1"/>
        <i x="18" s="1"/>
        <i x="21" s="1"/>
        <i x="24" s="1"/>
        <i x="1" s="1"/>
        <i x="4" s="1"/>
        <i x="7" s="1"/>
        <i x="10" s="1"/>
        <i x="13" s="1"/>
        <i x="16" s="1"/>
        <i x="19" s="1"/>
        <i x="22" s="1"/>
        <i x="25" s="1"/>
        <i x="2" s="1"/>
        <i x="5" s="1"/>
        <i x="8" s="1"/>
        <i x="11" s="1"/>
        <i x="14" s="1"/>
        <i x="17" s="1"/>
        <i x="20" s="1"/>
        <i x="23" s="1"/>
        <i x="26" s="1"/>
        <i x="27" s="1"/>
        <i x="30" s="1"/>
        <i x="33" s="1"/>
        <i x="28" s="1"/>
        <i x="31" s="1"/>
        <i x="34" s="1"/>
        <i x="29" s="1"/>
        <i x="32" s="1"/>
        <i x="3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7A283691-D3AC-4FFA-BA5F-0A5F226E78CC}" sourceName="Tax Rate">
  <pivotTables>
    <pivotTable tabId="13" name="PT_State"/>
    <pivotTable tabId="8" name="PT_FIRM"/>
    <pivotTable tabId="10" name="PT_Month"/>
    <pivotTable tabId="12" name="PT_Product"/>
    <pivotTable tabId="11" name="PT_Tax"/>
  </pivotTables>
  <data>
    <tabular pivotCacheId="396483567">
      <items count="7">
        <i x="3" s="1"/>
        <i x="6" s="1"/>
        <i x="2" s="1"/>
        <i x="5" s="1"/>
        <i x="1"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9131BCA8-89CE-48D7-BDCB-E160A8076ADB}" sourceName="Firm Name ">
  <pivotTables>
    <pivotTable tabId="13" name="PT_State"/>
    <pivotTable tabId="8" name="PT_FIRM"/>
    <pivotTable tabId="10" name="PT_Month"/>
    <pivotTable tabId="12" name="PT_Product"/>
    <pivotTable tabId="11" name="PT_Tax"/>
  </pivotTables>
  <data>
    <tabular pivotCacheId="39648356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of Goods" xr10:uid="{1CFCF5C8-BE3E-43F6-AFEB-0108701FD522}" cache="Slicer_Description_of_Goods" caption="Product" rowHeight="234950"/>
  <slicer name="State" xr10:uid="{40DF692A-EFBC-4C3B-8792-82EABCB799A7}" cache="Slicer_State" caption="State" rowHeight="234950"/>
  <slicer name="Date" xr10:uid="{FA265E16-1A04-4727-93EE-D675FC530E5C}" cache="Slicer_Date" caption="Month" rowHeight="234950"/>
  <slicer name="Tax Rate" xr10:uid="{CFBC5CF7-FD41-414C-AEEA-7ED4DCFCA57D}" cache="Slicer_Tax_Rate" caption="GST Tax" rowHeight="234950"/>
  <slicer name="Firm Name " xr10:uid="{1545CDA0-E252-44F6-A8AA-62FE2FF2EB9A}" cache="Slicer_Firm_Name" caption="Firm Name "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6"/>
  <sheetViews>
    <sheetView workbookViewId="0">
      <selection activeCell="H10" sqref="H10"/>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16</v>
      </c>
      <c r="B4">
        <v>410376.47000000003</v>
      </c>
    </row>
    <row r="5" spans="1:2" x14ac:dyDescent="0.3">
      <c r="A5" s="2" t="s">
        <v>22</v>
      </c>
      <c r="B5">
        <v>459587.38999999996</v>
      </c>
    </row>
    <row r="6" spans="1:2" x14ac:dyDescent="0.3">
      <c r="A6" s="2" t="s">
        <v>25</v>
      </c>
      <c r="B6">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3" t="s">
        <v>27</v>
      </c>
      <c r="B4">
        <v>21004</v>
      </c>
    </row>
    <row r="5" spans="1:2" x14ac:dyDescent="0.3">
      <c r="A5" s="3" t="s">
        <v>28</v>
      </c>
      <c r="B5">
        <v>229752.43999999997</v>
      </c>
    </row>
    <row r="6" spans="1:2" x14ac:dyDescent="0.3">
      <c r="A6" s="3" t="s">
        <v>29</v>
      </c>
      <c r="B6">
        <v>389805.09</v>
      </c>
    </row>
    <row r="7" spans="1:2" x14ac:dyDescent="0.3">
      <c r="A7" s="3" t="s">
        <v>30</v>
      </c>
      <c r="B7">
        <v>229402.33</v>
      </c>
    </row>
    <row r="8" spans="1:2" x14ac:dyDescent="0.3">
      <c r="A8" s="3" t="s">
        <v>25</v>
      </c>
      <c r="B8">
        <v>869963.86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s>
  <sheetFormatPr defaultRowHeight="14.4" x14ac:dyDescent="0.3"/>
  <cols>
    <col min="1" max="1" width="12.5546875" bestFit="1" customWidth="1"/>
    <col min="2" max="2" width="11.21875" bestFit="1" customWidth="1"/>
    <col min="3" max="3" width="11.77734375" bestFit="1" customWidth="1"/>
    <col min="4" max="4" width="11.6640625" bestFit="1" customWidth="1"/>
    <col min="5" max="6" width="12.88671875" bestFit="1" customWidth="1"/>
  </cols>
  <sheetData>
    <row r="3" spans="1:6" x14ac:dyDescent="0.3">
      <c r="A3" s="1" t="s">
        <v>24</v>
      </c>
      <c r="B3" t="s">
        <v>31</v>
      </c>
      <c r="C3" t="s">
        <v>32</v>
      </c>
      <c r="D3" t="s">
        <v>33</v>
      </c>
      <c r="E3" t="s">
        <v>34</v>
      </c>
      <c r="F3" t="s">
        <v>26</v>
      </c>
    </row>
    <row r="4" spans="1:6" x14ac:dyDescent="0.3">
      <c r="A4" s="4">
        <v>0</v>
      </c>
      <c r="B4">
        <v>0</v>
      </c>
      <c r="C4">
        <v>0</v>
      </c>
      <c r="D4">
        <v>0</v>
      </c>
      <c r="F4">
        <v>84740</v>
      </c>
    </row>
    <row r="5" spans="1:6" x14ac:dyDescent="0.3">
      <c r="A5" s="4">
        <v>1E-3</v>
      </c>
      <c r="B5">
        <v>0</v>
      </c>
      <c r="C5">
        <v>46.83</v>
      </c>
      <c r="D5">
        <v>46.83</v>
      </c>
      <c r="F5">
        <v>93753.659999999989</v>
      </c>
    </row>
    <row r="6" spans="1:6" x14ac:dyDescent="0.3">
      <c r="A6" s="4">
        <v>0.03</v>
      </c>
      <c r="B6">
        <v>1505.25</v>
      </c>
      <c r="C6">
        <v>1087.125</v>
      </c>
      <c r="D6">
        <v>1087.125</v>
      </c>
      <c r="F6">
        <v>126329.5</v>
      </c>
    </row>
    <row r="7" spans="1:6" x14ac:dyDescent="0.3">
      <c r="A7" s="4">
        <v>0.05</v>
      </c>
      <c r="B7">
        <v>1393.75</v>
      </c>
      <c r="C7">
        <v>2871.125</v>
      </c>
      <c r="D7">
        <v>2871.125</v>
      </c>
      <c r="F7">
        <v>149856</v>
      </c>
    </row>
    <row r="8" spans="1:6" x14ac:dyDescent="0.3">
      <c r="A8" s="4">
        <v>0.12</v>
      </c>
      <c r="B8">
        <v>0</v>
      </c>
      <c r="C8">
        <v>7559.4</v>
      </c>
      <c r="D8">
        <v>7559.4</v>
      </c>
      <c r="F8">
        <v>141108.79999999999</v>
      </c>
    </row>
    <row r="9" spans="1:6" x14ac:dyDescent="0.3">
      <c r="A9" s="4">
        <v>0.18</v>
      </c>
      <c r="B9">
        <v>8429.4</v>
      </c>
      <c r="C9">
        <v>3307.95</v>
      </c>
      <c r="D9">
        <v>3307.95</v>
      </c>
      <c r="F9">
        <v>98630.3</v>
      </c>
    </row>
    <row r="10" spans="1:6" x14ac:dyDescent="0.3">
      <c r="A10" s="4">
        <v>0.28000000000000003</v>
      </c>
      <c r="B10">
        <v>0</v>
      </c>
      <c r="C10">
        <v>19200.300000000003</v>
      </c>
      <c r="D10">
        <v>19200.300000000003</v>
      </c>
      <c r="F10">
        <v>175545.59999999998</v>
      </c>
    </row>
    <row r="11" spans="1:6" x14ac:dyDescent="0.3">
      <c r="A11" s="4" t="s">
        <v>25</v>
      </c>
      <c r="B11">
        <v>11328.4</v>
      </c>
      <c r="C11">
        <v>34072.730000000003</v>
      </c>
      <c r="D11">
        <v>34072.730000000003</v>
      </c>
      <c r="F11">
        <v>869963.8600000001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20</v>
      </c>
      <c r="B4">
        <v>427057.24</v>
      </c>
    </row>
    <row r="5" spans="1:2" x14ac:dyDescent="0.3">
      <c r="A5" s="2" t="s">
        <v>18</v>
      </c>
      <c r="B5">
        <v>442906.61999999994</v>
      </c>
    </row>
    <row r="6" spans="1:2" x14ac:dyDescent="0.3">
      <c r="A6" s="2" t="s">
        <v>25</v>
      </c>
      <c r="B6">
        <v>869963.85999999987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0E2C1-3D9D-43F4-8927-DEC1CE3B6814}">
  <dimension ref="A1:S35"/>
  <sheetViews>
    <sheetView tabSelected="1" zoomScale="66" zoomScaleNormal="73" workbookViewId="0">
      <selection activeCell="T13" sqref="T13"/>
    </sheetView>
  </sheetViews>
  <sheetFormatPr defaultRowHeight="14.4" x14ac:dyDescent="0.3"/>
  <sheetData>
    <row r="1" spans="1:19" x14ac:dyDescent="0.3">
      <c r="A1" s="43"/>
      <c r="B1" s="43"/>
      <c r="C1" s="43"/>
      <c r="D1" s="43"/>
      <c r="E1" s="43"/>
      <c r="F1" s="43"/>
      <c r="G1" s="43"/>
      <c r="H1" s="43"/>
      <c r="I1" s="43"/>
      <c r="J1" s="43"/>
      <c r="K1" s="43"/>
      <c r="L1" s="43"/>
      <c r="M1" s="43"/>
      <c r="N1" s="43"/>
      <c r="O1" s="43"/>
      <c r="P1" s="43"/>
      <c r="Q1" s="43"/>
      <c r="R1" s="42"/>
      <c r="S1" s="42"/>
    </row>
    <row r="2" spans="1:19" x14ac:dyDescent="0.3">
      <c r="A2" s="43"/>
      <c r="B2" s="43"/>
      <c r="C2" s="43"/>
      <c r="D2" s="43"/>
      <c r="E2" s="43"/>
      <c r="F2" s="43"/>
      <c r="G2" s="43"/>
      <c r="H2" s="43"/>
      <c r="I2" s="43"/>
      <c r="J2" s="43"/>
      <c r="K2" s="43"/>
      <c r="L2" s="43"/>
      <c r="M2" s="43"/>
      <c r="N2" s="43"/>
      <c r="O2" s="43"/>
      <c r="P2" s="43"/>
      <c r="Q2" s="43"/>
      <c r="R2" s="42"/>
      <c r="S2" s="42"/>
    </row>
    <row r="3" spans="1:19" x14ac:dyDescent="0.3">
      <c r="A3" s="43"/>
      <c r="B3" s="43"/>
      <c r="C3" s="43"/>
      <c r="D3" s="43"/>
      <c r="E3" s="43"/>
      <c r="F3" s="43"/>
      <c r="G3" s="43"/>
      <c r="H3" s="43"/>
      <c r="I3" s="43"/>
      <c r="J3" s="43"/>
      <c r="K3" s="43"/>
      <c r="L3" s="43"/>
      <c r="M3" s="43"/>
      <c r="N3" s="43"/>
      <c r="O3" s="43"/>
      <c r="P3" s="43"/>
      <c r="Q3" s="43"/>
      <c r="R3" s="42"/>
      <c r="S3" s="42"/>
    </row>
    <row r="4" spans="1:19" x14ac:dyDescent="0.3">
      <c r="A4" s="43"/>
      <c r="B4" s="43"/>
      <c r="C4" s="43"/>
      <c r="D4" s="43"/>
      <c r="E4" s="43"/>
      <c r="F4" s="43"/>
      <c r="G4" s="43"/>
      <c r="H4" s="43"/>
      <c r="I4" s="43"/>
      <c r="J4" s="43"/>
      <c r="K4" s="43"/>
      <c r="L4" s="43"/>
      <c r="M4" s="43"/>
      <c r="N4" s="43"/>
      <c r="O4" s="43"/>
      <c r="P4" s="43"/>
      <c r="Q4" s="43"/>
      <c r="R4" s="42"/>
      <c r="S4" s="42"/>
    </row>
    <row r="5" spans="1:19" x14ac:dyDescent="0.3">
      <c r="A5" s="43"/>
      <c r="B5" s="43"/>
      <c r="C5" s="43"/>
      <c r="D5" s="43"/>
      <c r="E5" s="43"/>
      <c r="F5" s="43"/>
      <c r="G5" s="43"/>
      <c r="H5" s="43"/>
      <c r="I5" s="43"/>
      <c r="J5" s="43"/>
      <c r="K5" s="43"/>
      <c r="L5" s="43"/>
      <c r="M5" s="43"/>
      <c r="N5" s="43"/>
      <c r="O5" s="43"/>
      <c r="P5" s="43"/>
      <c r="Q5" s="43"/>
      <c r="R5" s="42"/>
      <c r="S5" s="42"/>
    </row>
    <row r="6" spans="1:19" x14ac:dyDescent="0.3">
      <c r="A6" s="43"/>
      <c r="B6" s="43"/>
      <c r="C6" s="43"/>
      <c r="D6" s="43"/>
      <c r="E6" s="43"/>
      <c r="F6" s="43"/>
      <c r="G6" s="43"/>
      <c r="H6" s="43"/>
      <c r="I6" s="43"/>
      <c r="J6" s="43"/>
      <c r="K6" s="43"/>
      <c r="L6" s="43"/>
      <c r="M6" s="43"/>
      <c r="N6" s="43"/>
      <c r="O6" s="43"/>
      <c r="P6" s="43"/>
      <c r="Q6" s="43"/>
      <c r="R6" s="42"/>
      <c r="S6" s="42"/>
    </row>
    <row r="7" spans="1:19" x14ac:dyDescent="0.3">
      <c r="A7" s="43"/>
      <c r="B7" s="43"/>
      <c r="C7" s="43"/>
      <c r="D7" s="43"/>
      <c r="E7" s="43"/>
      <c r="F7" s="43"/>
      <c r="G7" s="43"/>
      <c r="H7" s="43"/>
      <c r="I7" s="43"/>
      <c r="J7" s="43"/>
      <c r="K7" s="43"/>
      <c r="L7" s="43"/>
      <c r="M7" s="43"/>
      <c r="N7" s="43"/>
      <c r="O7" s="43"/>
      <c r="P7" s="43"/>
      <c r="Q7" s="43"/>
      <c r="R7" s="42"/>
      <c r="S7" s="42"/>
    </row>
    <row r="8" spans="1:19" x14ac:dyDescent="0.3">
      <c r="A8" s="43"/>
      <c r="B8" s="43"/>
      <c r="C8" s="43"/>
      <c r="D8" s="43"/>
      <c r="E8" s="43"/>
      <c r="F8" s="43"/>
      <c r="G8" s="43"/>
      <c r="H8" s="43"/>
      <c r="I8" s="43"/>
      <c r="J8" s="43"/>
      <c r="K8" s="43"/>
      <c r="L8" s="43"/>
      <c r="M8" s="43"/>
      <c r="N8" s="43"/>
      <c r="O8" s="43"/>
      <c r="P8" s="43"/>
      <c r="Q8" s="43"/>
      <c r="R8" s="42"/>
      <c r="S8" s="42"/>
    </row>
    <row r="9" spans="1:19" x14ac:dyDescent="0.3">
      <c r="A9" s="43"/>
      <c r="B9" s="43"/>
      <c r="C9" s="43"/>
      <c r="D9" s="43"/>
      <c r="E9" s="43"/>
      <c r="F9" s="43"/>
      <c r="G9" s="43"/>
      <c r="H9" s="43"/>
      <c r="I9" s="43"/>
      <c r="J9" s="43"/>
      <c r="K9" s="43"/>
      <c r="L9" s="43"/>
      <c r="M9" s="43"/>
      <c r="N9" s="43"/>
      <c r="O9" s="43"/>
      <c r="P9" s="43"/>
      <c r="Q9" s="43"/>
      <c r="R9" s="42"/>
      <c r="S9" s="42"/>
    </row>
    <row r="10" spans="1:19" x14ac:dyDescent="0.3">
      <c r="A10" s="43"/>
      <c r="B10" s="43"/>
      <c r="C10" s="43"/>
      <c r="D10" s="43"/>
      <c r="E10" s="43"/>
      <c r="F10" s="43"/>
      <c r="G10" s="43"/>
      <c r="H10" s="43"/>
      <c r="I10" s="43"/>
      <c r="J10" s="43"/>
      <c r="K10" s="43"/>
      <c r="L10" s="43"/>
      <c r="M10" s="43"/>
      <c r="N10" s="43"/>
      <c r="O10" s="43"/>
      <c r="P10" s="43"/>
      <c r="Q10" s="43"/>
      <c r="R10" s="42"/>
      <c r="S10" s="42"/>
    </row>
    <row r="11" spans="1:19" x14ac:dyDescent="0.3">
      <c r="A11" s="43"/>
      <c r="B11" s="43"/>
      <c r="C11" s="43"/>
      <c r="D11" s="43"/>
      <c r="E11" s="43"/>
      <c r="F11" s="43"/>
      <c r="G11" s="43"/>
      <c r="H11" s="43"/>
      <c r="I11" s="43"/>
      <c r="J11" s="43"/>
      <c r="K11" s="43"/>
      <c r="L11" s="43"/>
      <c r="M11" s="43"/>
      <c r="N11" s="43"/>
      <c r="O11" s="43"/>
      <c r="P11" s="43"/>
      <c r="Q11" s="43"/>
      <c r="R11" s="42"/>
      <c r="S11" s="42"/>
    </row>
    <row r="12" spans="1:19" x14ac:dyDescent="0.3">
      <c r="A12" s="43"/>
      <c r="B12" s="43"/>
      <c r="C12" s="43"/>
      <c r="D12" s="43"/>
      <c r="E12" s="43"/>
      <c r="F12" s="43"/>
      <c r="G12" s="43"/>
      <c r="H12" s="43"/>
      <c r="I12" s="43"/>
      <c r="J12" s="43"/>
      <c r="K12" s="43"/>
      <c r="L12" s="43"/>
      <c r="M12" s="43"/>
      <c r="N12" s="43"/>
      <c r="O12" s="43"/>
      <c r="P12" s="43"/>
      <c r="Q12" s="43"/>
      <c r="R12" s="42"/>
      <c r="S12" s="42"/>
    </row>
    <row r="13" spans="1:19" x14ac:dyDescent="0.3">
      <c r="A13" s="43"/>
      <c r="B13" s="43"/>
      <c r="C13" s="43"/>
      <c r="D13" s="43"/>
      <c r="E13" s="43"/>
      <c r="F13" s="43"/>
      <c r="G13" s="43"/>
      <c r="H13" s="43"/>
      <c r="I13" s="43"/>
      <c r="J13" s="43"/>
      <c r="K13" s="43"/>
      <c r="L13" s="43"/>
      <c r="M13" s="43"/>
      <c r="N13" s="43"/>
      <c r="O13" s="43"/>
      <c r="P13" s="43"/>
      <c r="Q13" s="43"/>
      <c r="R13" s="42"/>
      <c r="S13" s="42"/>
    </row>
    <row r="14" spans="1:19" x14ac:dyDescent="0.3">
      <c r="A14" s="43"/>
      <c r="B14" s="43"/>
      <c r="C14" s="43"/>
      <c r="D14" s="43"/>
      <c r="E14" s="43"/>
      <c r="F14" s="43"/>
      <c r="G14" s="43"/>
      <c r="H14" s="43"/>
      <c r="I14" s="43"/>
      <c r="J14" s="43"/>
      <c r="K14" s="43"/>
      <c r="L14" s="43"/>
      <c r="M14" s="43"/>
      <c r="N14" s="43"/>
      <c r="O14" s="43"/>
      <c r="P14" s="43"/>
      <c r="Q14" s="43"/>
      <c r="R14" s="42"/>
      <c r="S14" s="42"/>
    </row>
    <row r="15" spans="1:19" x14ac:dyDescent="0.3">
      <c r="A15" s="43"/>
      <c r="B15" s="43"/>
      <c r="C15" s="43"/>
      <c r="D15" s="43"/>
      <c r="E15" s="43"/>
      <c r="F15" s="43"/>
      <c r="G15" s="43"/>
      <c r="H15" s="43"/>
      <c r="I15" s="43"/>
      <c r="J15" s="43"/>
      <c r="K15" s="43"/>
      <c r="L15" s="43"/>
      <c r="M15" s="43"/>
      <c r="N15" s="43"/>
      <c r="O15" s="43"/>
      <c r="P15" s="43"/>
      <c r="Q15" s="43"/>
      <c r="R15" s="42"/>
      <c r="S15" s="42"/>
    </row>
    <row r="16" spans="1:19" x14ac:dyDescent="0.3">
      <c r="A16" s="43"/>
      <c r="B16" s="43"/>
      <c r="C16" s="43"/>
      <c r="D16" s="43"/>
      <c r="E16" s="43"/>
      <c r="F16" s="43"/>
      <c r="G16" s="43"/>
      <c r="H16" s="43"/>
      <c r="I16" s="43"/>
      <c r="J16" s="43"/>
      <c r="K16" s="43"/>
      <c r="L16" s="43"/>
      <c r="M16" s="43"/>
      <c r="N16" s="43"/>
      <c r="O16" s="43"/>
      <c r="P16" s="43"/>
      <c r="Q16" s="43"/>
      <c r="R16" s="42"/>
      <c r="S16" s="42"/>
    </row>
    <row r="17" spans="1:19" x14ac:dyDescent="0.3">
      <c r="A17" s="43"/>
      <c r="B17" s="43"/>
      <c r="C17" s="43"/>
      <c r="D17" s="43"/>
      <c r="E17" s="43"/>
      <c r="F17" s="43"/>
      <c r="G17" s="43"/>
      <c r="H17" s="43"/>
      <c r="I17" s="43"/>
      <c r="J17" s="43"/>
      <c r="K17" s="43"/>
      <c r="L17" s="43"/>
      <c r="M17" s="43"/>
      <c r="N17" s="43"/>
      <c r="O17" s="43"/>
      <c r="P17" s="43"/>
      <c r="Q17" s="43"/>
      <c r="R17" s="42"/>
      <c r="S17" s="42"/>
    </row>
    <row r="18" spans="1:19" x14ac:dyDescent="0.3">
      <c r="A18" s="43"/>
      <c r="B18" s="43"/>
      <c r="C18" s="43"/>
      <c r="D18" s="43"/>
      <c r="E18" s="43"/>
      <c r="F18" s="43"/>
      <c r="G18" s="43"/>
      <c r="H18" s="43"/>
      <c r="I18" s="43"/>
      <c r="J18" s="43"/>
      <c r="K18" s="43"/>
      <c r="L18" s="43"/>
      <c r="M18" s="43"/>
      <c r="N18" s="43"/>
      <c r="O18" s="43"/>
      <c r="P18" s="43"/>
      <c r="Q18" s="43"/>
      <c r="R18" s="42"/>
      <c r="S18" s="42"/>
    </row>
    <row r="19" spans="1:19" x14ac:dyDescent="0.3">
      <c r="A19" s="43"/>
      <c r="B19" s="43"/>
      <c r="C19" s="43"/>
      <c r="D19" s="43"/>
      <c r="E19" s="43"/>
      <c r="F19" s="43"/>
      <c r="G19" s="43"/>
      <c r="H19" s="43"/>
      <c r="I19" s="43"/>
      <c r="J19" s="43"/>
      <c r="K19" s="43"/>
      <c r="L19" s="43"/>
      <c r="M19" s="43"/>
      <c r="N19" s="43"/>
      <c r="O19" s="43"/>
      <c r="P19" s="43"/>
      <c r="Q19" s="43"/>
      <c r="R19" s="42"/>
      <c r="S19" s="42"/>
    </row>
    <row r="20" spans="1:19" x14ac:dyDescent="0.3">
      <c r="A20" s="43"/>
      <c r="B20" s="43"/>
      <c r="C20" s="43"/>
      <c r="D20" s="43"/>
      <c r="E20" s="43"/>
      <c r="F20" s="43"/>
      <c r="G20" s="43"/>
      <c r="H20" s="43"/>
      <c r="I20" s="43"/>
      <c r="J20" s="43"/>
      <c r="K20" s="43"/>
      <c r="L20" s="43"/>
      <c r="M20" s="43"/>
      <c r="N20" s="43"/>
      <c r="O20" s="43"/>
      <c r="P20" s="43"/>
      <c r="Q20" s="43"/>
      <c r="R20" s="42"/>
      <c r="S20" s="42"/>
    </row>
    <row r="21" spans="1:19" x14ac:dyDescent="0.3">
      <c r="A21" s="43"/>
      <c r="B21" s="43"/>
      <c r="C21" s="43"/>
      <c r="D21" s="43"/>
      <c r="E21" s="43"/>
      <c r="F21" s="43"/>
      <c r="G21" s="43"/>
      <c r="H21" s="43"/>
      <c r="I21" s="43"/>
      <c r="J21" s="43"/>
      <c r="K21" s="43"/>
      <c r="L21" s="43"/>
      <c r="M21" s="43"/>
      <c r="N21" s="43"/>
      <c r="O21" s="43"/>
      <c r="P21" s="43"/>
      <c r="Q21" s="43"/>
      <c r="R21" s="42"/>
      <c r="S21" s="42"/>
    </row>
    <row r="22" spans="1:19" x14ac:dyDescent="0.3">
      <c r="A22" s="43"/>
      <c r="B22" s="43"/>
      <c r="C22" s="43"/>
      <c r="D22" s="43"/>
      <c r="E22" s="43"/>
      <c r="F22" s="43"/>
      <c r="G22" s="43"/>
      <c r="H22" s="43"/>
      <c r="I22" s="43"/>
      <c r="J22" s="43"/>
      <c r="K22" s="43"/>
      <c r="L22" s="43"/>
      <c r="M22" s="43"/>
      <c r="N22" s="43"/>
      <c r="O22" s="43"/>
      <c r="P22" s="43"/>
      <c r="Q22" s="43"/>
      <c r="R22" s="42"/>
      <c r="S22" s="42"/>
    </row>
    <row r="23" spans="1:19" x14ac:dyDescent="0.3">
      <c r="A23" s="43"/>
      <c r="B23" s="43"/>
      <c r="C23" s="43"/>
      <c r="D23" s="43"/>
      <c r="E23" s="43"/>
      <c r="F23" s="43"/>
      <c r="G23" s="43"/>
      <c r="H23" s="43"/>
      <c r="I23" s="43"/>
      <c r="J23" s="43"/>
      <c r="K23" s="43"/>
      <c r="L23" s="43"/>
      <c r="M23" s="43"/>
      <c r="N23" s="43"/>
      <c r="O23" s="43"/>
      <c r="P23" s="43"/>
      <c r="Q23" s="43"/>
      <c r="R23" s="42"/>
      <c r="S23" s="42"/>
    </row>
    <row r="24" spans="1:19" x14ac:dyDescent="0.3">
      <c r="A24" s="43"/>
      <c r="B24" s="43"/>
      <c r="C24" s="43"/>
      <c r="D24" s="43"/>
      <c r="E24" s="43"/>
      <c r="F24" s="43"/>
      <c r="G24" s="43"/>
      <c r="H24" s="43"/>
      <c r="I24" s="43"/>
      <c r="J24" s="43"/>
      <c r="K24" s="43"/>
      <c r="L24" s="43"/>
      <c r="M24" s="43"/>
      <c r="N24" s="43"/>
      <c r="O24" s="43"/>
      <c r="P24" s="43"/>
      <c r="Q24" s="43"/>
      <c r="R24" s="42"/>
      <c r="S24" s="42"/>
    </row>
    <row r="25" spans="1:19" x14ac:dyDescent="0.3">
      <c r="A25" s="43"/>
      <c r="B25" s="43"/>
      <c r="C25" s="43"/>
      <c r="D25" s="43"/>
      <c r="E25" s="43"/>
      <c r="F25" s="43"/>
      <c r="G25" s="43"/>
      <c r="H25" s="43"/>
      <c r="I25" s="43"/>
      <c r="J25" s="43"/>
      <c r="K25" s="43"/>
      <c r="L25" s="43"/>
      <c r="M25" s="43"/>
      <c r="N25" s="43"/>
      <c r="O25" s="43"/>
      <c r="P25" s="43"/>
      <c r="Q25" s="43"/>
      <c r="R25" s="42"/>
      <c r="S25" s="42"/>
    </row>
    <row r="26" spans="1:19" x14ac:dyDescent="0.3">
      <c r="A26" s="43"/>
      <c r="B26" s="43"/>
      <c r="C26" s="43"/>
      <c r="D26" s="43"/>
      <c r="E26" s="43"/>
      <c r="F26" s="43"/>
      <c r="G26" s="43"/>
      <c r="H26" s="43"/>
      <c r="I26" s="43"/>
      <c r="J26" s="43"/>
      <c r="K26" s="43"/>
      <c r="L26" s="43"/>
      <c r="M26" s="43"/>
      <c r="N26" s="43"/>
      <c r="O26" s="43"/>
      <c r="P26" s="43"/>
      <c r="Q26" s="43"/>
      <c r="R26" s="42"/>
      <c r="S26" s="42"/>
    </row>
    <row r="27" spans="1:19" x14ac:dyDescent="0.3">
      <c r="A27" s="43"/>
      <c r="B27" s="43"/>
      <c r="C27" s="43"/>
      <c r="D27" s="43"/>
      <c r="E27" s="43"/>
      <c r="F27" s="43"/>
      <c r="G27" s="43"/>
      <c r="H27" s="43"/>
      <c r="I27" s="43"/>
      <c r="J27" s="43"/>
      <c r="K27" s="43"/>
      <c r="L27" s="43"/>
      <c r="M27" s="43"/>
      <c r="N27" s="43"/>
      <c r="O27" s="43"/>
      <c r="P27" s="43"/>
      <c r="Q27" s="43"/>
      <c r="R27" s="42"/>
      <c r="S27" s="42"/>
    </row>
    <row r="28" spans="1:19" x14ac:dyDescent="0.3">
      <c r="A28" s="43"/>
      <c r="B28" s="43"/>
      <c r="C28" s="43"/>
      <c r="D28" s="43"/>
      <c r="E28" s="43"/>
      <c r="F28" s="43"/>
      <c r="G28" s="43"/>
      <c r="H28" s="43"/>
      <c r="I28" s="43"/>
      <c r="J28" s="43"/>
      <c r="K28" s="43"/>
      <c r="L28" s="43"/>
      <c r="M28" s="43"/>
      <c r="N28" s="43"/>
      <c r="O28" s="43"/>
      <c r="P28" s="43"/>
      <c r="Q28" s="43"/>
      <c r="R28" s="42"/>
      <c r="S28" s="42"/>
    </row>
    <row r="29" spans="1:19" x14ac:dyDescent="0.3">
      <c r="A29" s="42"/>
      <c r="B29" s="42"/>
      <c r="C29" s="42"/>
      <c r="D29" s="42"/>
      <c r="E29" s="42"/>
      <c r="F29" s="42"/>
      <c r="G29" s="42"/>
      <c r="H29" s="42"/>
      <c r="I29" s="42"/>
      <c r="J29" s="42"/>
      <c r="K29" s="42"/>
      <c r="L29" s="42"/>
      <c r="M29" s="42"/>
      <c r="N29" s="42"/>
      <c r="O29" s="42"/>
      <c r="P29" s="42"/>
      <c r="Q29" s="42"/>
      <c r="R29" s="42"/>
      <c r="S29" s="42"/>
    </row>
    <row r="30" spans="1:19" x14ac:dyDescent="0.3">
      <c r="A30" s="42"/>
      <c r="B30" s="42"/>
      <c r="C30" s="42"/>
      <c r="D30" s="42"/>
      <c r="E30" s="42"/>
      <c r="F30" s="42"/>
      <c r="G30" s="42"/>
      <c r="H30" s="42"/>
      <c r="I30" s="42"/>
      <c r="J30" s="42"/>
      <c r="K30" s="42"/>
      <c r="L30" s="42"/>
      <c r="M30" s="42"/>
      <c r="N30" s="42"/>
      <c r="O30" s="42"/>
      <c r="P30" s="42"/>
      <c r="Q30" s="42"/>
      <c r="R30" s="42"/>
      <c r="S30" s="42"/>
    </row>
    <row r="31" spans="1:19" x14ac:dyDescent="0.3">
      <c r="A31" s="42"/>
      <c r="B31" s="42"/>
      <c r="C31" s="42"/>
      <c r="D31" s="42"/>
      <c r="E31" s="42"/>
      <c r="F31" s="42"/>
      <c r="G31" s="42"/>
      <c r="H31" s="42"/>
      <c r="I31" s="42"/>
      <c r="J31" s="42"/>
      <c r="K31" s="42"/>
      <c r="L31" s="42"/>
      <c r="M31" s="42"/>
      <c r="N31" s="42"/>
      <c r="O31" s="42"/>
      <c r="P31" s="42"/>
      <c r="Q31" s="42"/>
      <c r="R31" s="42"/>
      <c r="S31" s="42"/>
    </row>
    <row r="32" spans="1:19" x14ac:dyDescent="0.3">
      <c r="A32" s="42"/>
      <c r="B32" s="42"/>
      <c r="C32" s="42"/>
      <c r="D32" s="42"/>
      <c r="E32" s="42"/>
      <c r="F32" s="42"/>
      <c r="G32" s="42"/>
      <c r="H32" s="42"/>
      <c r="I32" s="42"/>
      <c r="J32" s="42"/>
      <c r="K32" s="42"/>
      <c r="L32" s="42"/>
      <c r="M32" s="42"/>
      <c r="N32" s="42"/>
      <c r="O32" s="42"/>
      <c r="P32" s="42"/>
      <c r="Q32" s="42"/>
      <c r="R32" s="42"/>
      <c r="S32" s="42"/>
    </row>
    <row r="33" spans="1:19" x14ac:dyDescent="0.3">
      <c r="A33" s="42"/>
      <c r="B33" s="42"/>
      <c r="C33" s="42"/>
      <c r="D33" s="42"/>
      <c r="E33" s="42"/>
      <c r="F33" s="42"/>
      <c r="G33" s="42"/>
      <c r="H33" s="42"/>
      <c r="I33" s="42"/>
      <c r="J33" s="42"/>
      <c r="K33" s="42"/>
      <c r="L33" s="42"/>
      <c r="M33" s="42"/>
      <c r="N33" s="42"/>
      <c r="O33" s="42"/>
      <c r="P33" s="42"/>
      <c r="Q33" s="42"/>
      <c r="R33" s="42"/>
      <c r="S33" s="42"/>
    </row>
    <row r="34" spans="1:19" x14ac:dyDescent="0.3">
      <c r="A34" s="42"/>
      <c r="B34" s="42"/>
      <c r="C34" s="42"/>
      <c r="D34" s="42"/>
      <c r="E34" s="42"/>
      <c r="F34" s="42"/>
      <c r="G34" s="42"/>
      <c r="H34" s="42"/>
      <c r="I34" s="42"/>
      <c r="J34" s="42"/>
      <c r="K34" s="42"/>
      <c r="L34" s="42"/>
      <c r="M34" s="42"/>
      <c r="N34" s="42"/>
      <c r="O34" s="42"/>
      <c r="P34" s="42"/>
      <c r="Q34" s="42"/>
      <c r="R34" s="42"/>
      <c r="S34" s="42"/>
    </row>
    <row r="35" spans="1:19" x14ac:dyDescent="0.3">
      <c r="A35" s="42"/>
      <c r="B35" s="42"/>
      <c r="C35" s="42"/>
      <c r="D35" s="42"/>
      <c r="E35" s="42"/>
      <c r="F35" s="42"/>
      <c r="G35" s="42"/>
      <c r="H35" s="42"/>
      <c r="I35" s="42"/>
      <c r="J35" s="42"/>
      <c r="K35" s="42"/>
      <c r="L35" s="42"/>
      <c r="M35" s="42"/>
      <c r="N35" s="42"/>
      <c r="O35" s="42"/>
      <c r="P35" s="42"/>
      <c r="Q35" s="42"/>
      <c r="R35" s="42"/>
      <c r="S35" s="4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37"/>
  <sheetViews>
    <sheetView zoomScale="85" zoomScaleNormal="85" workbookViewId="0">
      <selection activeCell="B11" sqref="B11"/>
    </sheetView>
  </sheetViews>
  <sheetFormatPr defaultRowHeight="14.4" x14ac:dyDescent="0.3"/>
  <cols>
    <col min="1" max="1" width="16.33203125" customWidth="1"/>
    <col min="2" max="2" width="12.88671875" bestFit="1" customWidth="1"/>
    <col min="3" max="3" width="16.109375" customWidth="1"/>
    <col min="4" max="4" width="13.88671875" customWidth="1"/>
    <col min="5" max="5" width="13" customWidth="1"/>
    <col min="6" max="6" width="27.33203125" customWidth="1"/>
    <col min="7" max="7" width="8.44140625" customWidth="1"/>
    <col min="8" max="8" width="8.5546875" customWidth="1"/>
    <col min="9" max="9" width="10.88671875" customWidth="1"/>
    <col min="10" max="10" width="19" customWidth="1"/>
    <col min="11" max="11" width="9.5546875" bestFit="1" customWidth="1"/>
    <col min="12" max="12" width="10.44140625" customWidth="1"/>
    <col min="13" max="13" width="10.5546875" customWidth="1"/>
    <col min="14" max="14" width="8.5546875" customWidth="1"/>
    <col min="15" max="15" width="12.5546875" customWidth="1"/>
    <col min="16" max="16" width="20.5546875" customWidth="1"/>
  </cols>
  <sheetData>
    <row r="1" spans="1:16" ht="18" x14ac:dyDescent="0.3">
      <c r="A1" s="6" t="s">
        <v>0</v>
      </c>
      <c r="B1" s="6" t="s">
        <v>1</v>
      </c>
      <c r="C1" s="6" t="s">
        <v>2</v>
      </c>
      <c r="D1" s="6" t="s">
        <v>3</v>
      </c>
      <c r="E1" s="7" t="s">
        <v>4</v>
      </c>
      <c r="F1" s="7" t="s">
        <v>5</v>
      </c>
      <c r="G1" s="7" t="s">
        <v>6</v>
      </c>
      <c r="H1" s="7" t="s">
        <v>7</v>
      </c>
      <c r="I1" s="7" t="s">
        <v>8</v>
      </c>
      <c r="J1" s="8" t="s">
        <v>9</v>
      </c>
      <c r="K1" s="8" t="s">
        <v>10</v>
      </c>
      <c r="L1" s="8" t="s">
        <v>11</v>
      </c>
      <c r="M1" s="8" t="s">
        <v>12</v>
      </c>
      <c r="N1" s="8" t="s">
        <v>13</v>
      </c>
      <c r="O1" s="8" t="s">
        <v>14</v>
      </c>
      <c r="P1" s="9" t="s">
        <v>15</v>
      </c>
    </row>
    <row r="2" spans="1:16" ht="15.6" x14ac:dyDescent="0.3">
      <c r="A2" s="10" t="s">
        <v>16</v>
      </c>
      <c r="B2" s="10" t="s">
        <v>17</v>
      </c>
      <c r="C2" s="10">
        <v>23</v>
      </c>
      <c r="D2" s="11">
        <v>43922</v>
      </c>
      <c r="E2" s="12">
        <v>0.18</v>
      </c>
      <c r="F2" s="10" t="s">
        <v>18</v>
      </c>
      <c r="G2" s="10">
        <v>8</v>
      </c>
      <c r="H2" s="12" t="s">
        <v>19</v>
      </c>
      <c r="I2" s="13">
        <v>2225</v>
      </c>
      <c r="J2" s="14">
        <v>17800</v>
      </c>
      <c r="K2" s="15">
        <v>0</v>
      </c>
      <c r="L2" s="15">
        <v>1602</v>
      </c>
      <c r="M2" s="15">
        <v>1602</v>
      </c>
      <c r="N2" s="15"/>
      <c r="O2" s="15">
        <v>21004</v>
      </c>
      <c r="P2" s="16">
        <v>21004</v>
      </c>
    </row>
    <row r="3" spans="1:16" ht="15.6" x14ac:dyDescent="0.3">
      <c r="A3" s="17" t="s">
        <v>16</v>
      </c>
      <c r="B3" s="17" t="s">
        <v>17</v>
      </c>
      <c r="C3" s="17">
        <v>24</v>
      </c>
      <c r="D3" s="18">
        <v>43986</v>
      </c>
      <c r="E3" s="19">
        <v>0.12</v>
      </c>
      <c r="F3" s="17" t="s">
        <v>20</v>
      </c>
      <c r="G3" s="17">
        <v>2</v>
      </c>
      <c r="H3" s="19" t="s">
        <v>19</v>
      </c>
      <c r="I3" s="20">
        <v>1670</v>
      </c>
      <c r="J3" s="21">
        <v>3340</v>
      </c>
      <c r="K3" s="22">
        <v>0</v>
      </c>
      <c r="L3" s="22">
        <v>200.4</v>
      </c>
      <c r="M3" s="22">
        <v>200.4</v>
      </c>
      <c r="N3" s="22"/>
      <c r="O3" s="22">
        <v>3740.8</v>
      </c>
      <c r="P3" s="23">
        <v>3740.8</v>
      </c>
    </row>
    <row r="4" spans="1:16" ht="15.6" x14ac:dyDescent="0.3">
      <c r="A4" s="10" t="s">
        <v>16</v>
      </c>
      <c r="B4" s="10" t="s">
        <v>17</v>
      </c>
      <c r="C4" s="10">
        <v>25</v>
      </c>
      <c r="D4" s="11">
        <v>44016</v>
      </c>
      <c r="E4" s="12">
        <v>0.03</v>
      </c>
      <c r="F4" s="10" t="s">
        <v>18</v>
      </c>
      <c r="G4" s="10">
        <v>10</v>
      </c>
      <c r="H4" s="12" t="s">
        <v>19</v>
      </c>
      <c r="I4" s="13">
        <v>1115</v>
      </c>
      <c r="J4" s="14">
        <v>11150</v>
      </c>
      <c r="K4" s="15">
        <v>0</v>
      </c>
      <c r="L4" s="15">
        <v>167.25</v>
      </c>
      <c r="M4" s="15">
        <v>167.25</v>
      </c>
      <c r="N4" s="15"/>
      <c r="O4" s="15">
        <v>11484.5</v>
      </c>
      <c r="P4" s="16">
        <v>11484.5</v>
      </c>
    </row>
    <row r="5" spans="1:16" ht="15.6" x14ac:dyDescent="0.3">
      <c r="A5" s="17" t="s">
        <v>16</v>
      </c>
      <c r="B5" s="17" t="s">
        <v>21</v>
      </c>
      <c r="C5" s="17">
        <v>26</v>
      </c>
      <c r="D5" s="18">
        <v>43956</v>
      </c>
      <c r="E5" s="19">
        <v>0</v>
      </c>
      <c r="F5" s="17" t="s">
        <v>20</v>
      </c>
      <c r="G5" s="17">
        <v>3</v>
      </c>
      <c r="H5" s="19" t="s">
        <v>19</v>
      </c>
      <c r="I5" s="20">
        <v>1115</v>
      </c>
      <c r="J5" s="21">
        <v>3345</v>
      </c>
      <c r="K5" s="22">
        <v>0</v>
      </c>
      <c r="L5" s="22">
        <v>0</v>
      </c>
      <c r="M5" s="22">
        <v>0</v>
      </c>
      <c r="N5" s="22"/>
      <c r="O5" s="22">
        <v>3345</v>
      </c>
      <c r="P5" s="23">
        <v>3345</v>
      </c>
    </row>
    <row r="6" spans="1:16" ht="15.6" x14ac:dyDescent="0.3">
      <c r="A6" s="10" t="s">
        <v>16</v>
      </c>
      <c r="B6" s="10" t="s">
        <v>17</v>
      </c>
      <c r="C6" s="10">
        <v>27</v>
      </c>
      <c r="D6" s="11">
        <v>43987</v>
      </c>
      <c r="E6" s="12">
        <v>0.28000000000000003</v>
      </c>
      <c r="F6" s="10" t="s">
        <v>18</v>
      </c>
      <c r="G6" s="10">
        <v>4</v>
      </c>
      <c r="H6" s="12" t="s">
        <v>19</v>
      </c>
      <c r="I6" s="13">
        <v>1115</v>
      </c>
      <c r="J6" s="14">
        <v>4460</v>
      </c>
      <c r="K6" s="15">
        <v>0</v>
      </c>
      <c r="L6" s="15">
        <v>624.40000000000009</v>
      </c>
      <c r="M6" s="15">
        <v>624.40000000000009</v>
      </c>
      <c r="N6" s="15"/>
      <c r="O6" s="15">
        <v>5708.7999999999993</v>
      </c>
      <c r="P6" s="16">
        <v>5708.7999999999993</v>
      </c>
    </row>
    <row r="7" spans="1:16" ht="15.6" x14ac:dyDescent="0.3">
      <c r="A7" s="17" t="s">
        <v>16</v>
      </c>
      <c r="B7" s="17" t="s">
        <v>17</v>
      </c>
      <c r="C7" s="17">
        <v>28</v>
      </c>
      <c r="D7" s="18">
        <v>44017</v>
      </c>
      <c r="E7" s="19">
        <v>0.05</v>
      </c>
      <c r="F7" s="17" t="s">
        <v>20</v>
      </c>
      <c r="G7" s="17">
        <v>24</v>
      </c>
      <c r="H7" s="19" t="s">
        <v>19</v>
      </c>
      <c r="I7" s="20">
        <v>1115</v>
      </c>
      <c r="J7" s="21">
        <v>26760</v>
      </c>
      <c r="K7" s="22">
        <v>0</v>
      </c>
      <c r="L7" s="22">
        <v>669</v>
      </c>
      <c r="M7" s="22">
        <v>669</v>
      </c>
      <c r="N7" s="22"/>
      <c r="O7" s="22">
        <v>28098</v>
      </c>
      <c r="P7" s="23">
        <v>28098</v>
      </c>
    </row>
    <row r="8" spans="1:16" ht="15.6" x14ac:dyDescent="0.3">
      <c r="A8" s="10" t="s">
        <v>16</v>
      </c>
      <c r="B8" s="10" t="s">
        <v>17</v>
      </c>
      <c r="C8" s="10">
        <v>29</v>
      </c>
      <c r="D8" s="11">
        <v>43957</v>
      </c>
      <c r="E8" s="12">
        <v>1E-3</v>
      </c>
      <c r="F8" s="10" t="s">
        <v>18</v>
      </c>
      <c r="G8" s="10">
        <v>30</v>
      </c>
      <c r="H8" s="12" t="s">
        <v>19</v>
      </c>
      <c r="I8" s="13">
        <v>1115</v>
      </c>
      <c r="J8" s="14">
        <v>33450</v>
      </c>
      <c r="K8" s="15">
        <v>0</v>
      </c>
      <c r="L8" s="15">
        <v>16.725000000000001</v>
      </c>
      <c r="M8" s="15">
        <v>16.725000000000001</v>
      </c>
      <c r="N8" s="15"/>
      <c r="O8" s="15">
        <v>33483.449999999997</v>
      </c>
      <c r="P8" s="16">
        <v>33483.449999999997</v>
      </c>
    </row>
    <row r="9" spans="1:16" ht="15.6" x14ac:dyDescent="0.3">
      <c r="A9" s="17" t="s">
        <v>16</v>
      </c>
      <c r="B9" s="17" t="s">
        <v>17</v>
      </c>
      <c r="C9" s="17">
        <v>30</v>
      </c>
      <c r="D9" s="18">
        <v>43988</v>
      </c>
      <c r="E9" s="19">
        <v>0.03</v>
      </c>
      <c r="F9" s="17" t="s">
        <v>20</v>
      </c>
      <c r="G9" s="17">
        <v>12</v>
      </c>
      <c r="H9" s="19" t="s">
        <v>19</v>
      </c>
      <c r="I9" s="20">
        <v>1115</v>
      </c>
      <c r="J9" s="21">
        <v>13380</v>
      </c>
      <c r="K9" s="22">
        <v>0</v>
      </c>
      <c r="L9" s="22">
        <v>200.7</v>
      </c>
      <c r="M9" s="22">
        <v>200.7</v>
      </c>
      <c r="N9" s="22"/>
      <c r="O9" s="22">
        <v>13781.400000000001</v>
      </c>
      <c r="P9" s="23">
        <v>13781.400000000001</v>
      </c>
    </row>
    <row r="10" spans="1:16" ht="15.6" x14ac:dyDescent="0.3">
      <c r="A10" s="10" t="s">
        <v>22</v>
      </c>
      <c r="B10" s="10" t="s">
        <v>17</v>
      </c>
      <c r="C10" s="10">
        <v>31</v>
      </c>
      <c r="D10" s="11">
        <v>44018</v>
      </c>
      <c r="E10" s="12">
        <v>0.18</v>
      </c>
      <c r="F10" s="10" t="s">
        <v>18</v>
      </c>
      <c r="G10" s="10">
        <v>17</v>
      </c>
      <c r="H10" s="12" t="s">
        <v>19</v>
      </c>
      <c r="I10" s="13">
        <v>1115</v>
      </c>
      <c r="J10" s="14">
        <v>18955</v>
      </c>
      <c r="K10" s="15">
        <v>0</v>
      </c>
      <c r="L10" s="15">
        <v>1705.95</v>
      </c>
      <c r="M10" s="15">
        <v>1705.95</v>
      </c>
      <c r="N10" s="15"/>
      <c r="O10" s="15">
        <v>22366.9</v>
      </c>
      <c r="P10" s="16">
        <v>22366.9</v>
      </c>
    </row>
    <row r="11" spans="1:16" ht="15.6" x14ac:dyDescent="0.3">
      <c r="A11" s="17" t="s">
        <v>22</v>
      </c>
      <c r="B11" s="17" t="s">
        <v>17</v>
      </c>
      <c r="C11" s="17">
        <v>32</v>
      </c>
      <c r="D11" s="18">
        <v>43958</v>
      </c>
      <c r="E11" s="19">
        <v>1E-3</v>
      </c>
      <c r="F11" s="17" t="s">
        <v>20</v>
      </c>
      <c r="G11" s="17">
        <v>16</v>
      </c>
      <c r="H11" s="19" t="s">
        <v>19</v>
      </c>
      <c r="I11" s="20">
        <v>1115</v>
      </c>
      <c r="J11" s="21">
        <v>17840</v>
      </c>
      <c r="K11" s="22">
        <v>0</v>
      </c>
      <c r="L11" s="22">
        <v>8.92</v>
      </c>
      <c r="M11" s="22">
        <v>8.92</v>
      </c>
      <c r="N11" s="22"/>
      <c r="O11" s="22">
        <v>17857.839999999997</v>
      </c>
      <c r="P11" s="23">
        <v>17857.839999999997</v>
      </c>
    </row>
    <row r="12" spans="1:16" ht="15.6" x14ac:dyDescent="0.3">
      <c r="A12" s="10" t="s">
        <v>22</v>
      </c>
      <c r="B12" s="10" t="s">
        <v>17</v>
      </c>
      <c r="C12" s="10">
        <v>33</v>
      </c>
      <c r="D12" s="11">
        <v>43989</v>
      </c>
      <c r="E12" s="12">
        <v>0.28000000000000003</v>
      </c>
      <c r="F12" s="10" t="s">
        <v>18</v>
      </c>
      <c r="G12" s="10">
        <v>50</v>
      </c>
      <c r="H12" s="12" t="s">
        <v>19</v>
      </c>
      <c r="I12" s="13">
        <v>1115</v>
      </c>
      <c r="J12" s="14">
        <v>55750</v>
      </c>
      <c r="K12" s="15">
        <v>0</v>
      </c>
      <c r="L12" s="15">
        <v>7805.0000000000009</v>
      </c>
      <c r="M12" s="15">
        <v>7805.0000000000009</v>
      </c>
      <c r="N12" s="15"/>
      <c r="O12" s="15">
        <v>71360</v>
      </c>
      <c r="P12" s="16">
        <v>71360</v>
      </c>
    </row>
    <row r="13" spans="1:16" ht="15.6" x14ac:dyDescent="0.3">
      <c r="A13" s="17" t="s">
        <v>22</v>
      </c>
      <c r="B13" s="17" t="s">
        <v>17</v>
      </c>
      <c r="C13" s="17">
        <v>34</v>
      </c>
      <c r="D13" s="18">
        <v>44019</v>
      </c>
      <c r="E13" s="19">
        <v>0</v>
      </c>
      <c r="F13" s="17" t="s">
        <v>20</v>
      </c>
      <c r="G13" s="17">
        <v>21</v>
      </c>
      <c r="H13" s="19" t="s">
        <v>19</v>
      </c>
      <c r="I13" s="20">
        <v>1115</v>
      </c>
      <c r="J13" s="21">
        <v>23415</v>
      </c>
      <c r="K13" s="22">
        <v>0</v>
      </c>
      <c r="L13" s="22">
        <v>0</v>
      </c>
      <c r="M13" s="22">
        <v>0</v>
      </c>
      <c r="N13" s="22"/>
      <c r="O13" s="22">
        <v>23415</v>
      </c>
      <c r="P13" s="23">
        <v>23415</v>
      </c>
    </row>
    <row r="14" spans="1:16" ht="15.6" x14ac:dyDescent="0.3">
      <c r="A14" s="10" t="s">
        <v>16</v>
      </c>
      <c r="B14" s="10" t="s">
        <v>21</v>
      </c>
      <c r="C14" s="10">
        <v>35</v>
      </c>
      <c r="D14" s="11">
        <v>43959</v>
      </c>
      <c r="E14" s="24">
        <v>0.05</v>
      </c>
      <c r="F14" s="10" t="s">
        <v>18</v>
      </c>
      <c r="G14" s="25">
        <v>25</v>
      </c>
      <c r="H14" s="12" t="s">
        <v>19</v>
      </c>
      <c r="I14" s="13">
        <v>1115</v>
      </c>
      <c r="J14" s="14">
        <v>27875</v>
      </c>
      <c r="K14" s="15">
        <v>1393.75</v>
      </c>
      <c r="L14" s="15">
        <v>0</v>
      </c>
      <c r="M14" s="15">
        <v>0</v>
      </c>
      <c r="N14" s="15"/>
      <c r="O14" s="15">
        <v>29268.75</v>
      </c>
      <c r="P14" s="16">
        <v>29268.75</v>
      </c>
    </row>
    <row r="15" spans="1:16" ht="15.6" x14ac:dyDescent="0.3">
      <c r="A15" s="17" t="s">
        <v>16</v>
      </c>
      <c r="B15" s="17" t="s">
        <v>21</v>
      </c>
      <c r="C15" s="17">
        <v>36</v>
      </c>
      <c r="D15" s="18">
        <v>43990</v>
      </c>
      <c r="E15" s="26">
        <v>0.18</v>
      </c>
      <c r="F15" s="17" t="s">
        <v>20</v>
      </c>
      <c r="G15" s="27">
        <v>42</v>
      </c>
      <c r="H15" s="19" t="s">
        <v>19</v>
      </c>
      <c r="I15" s="20">
        <v>1115</v>
      </c>
      <c r="J15" s="21">
        <v>46830</v>
      </c>
      <c r="K15" s="22">
        <v>8429.4</v>
      </c>
      <c r="L15" s="22">
        <v>0</v>
      </c>
      <c r="M15" s="22">
        <v>0</v>
      </c>
      <c r="N15" s="22"/>
      <c r="O15" s="22">
        <v>55259.4</v>
      </c>
      <c r="P15" s="23">
        <v>55259.4</v>
      </c>
    </row>
    <row r="16" spans="1:16" ht="15.6" x14ac:dyDescent="0.3">
      <c r="A16" s="10" t="s">
        <v>16</v>
      </c>
      <c r="B16" s="10" t="s">
        <v>23</v>
      </c>
      <c r="C16" s="10">
        <v>37</v>
      </c>
      <c r="D16" s="11">
        <v>44020</v>
      </c>
      <c r="E16" s="24">
        <v>1E-3</v>
      </c>
      <c r="F16" s="10" t="s">
        <v>18</v>
      </c>
      <c r="G16" s="25">
        <v>32</v>
      </c>
      <c r="H16" s="12" t="s">
        <v>19</v>
      </c>
      <c r="I16" s="13">
        <v>1115</v>
      </c>
      <c r="J16" s="14">
        <v>35680</v>
      </c>
      <c r="K16" s="15">
        <v>0</v>
      </c>
      <c r="L16" s="15">
        <v>17.84</v>
      </c>
      <c r="M16" s="15">
        <v>17.84</v>
      </c>
      <c r="N16" s="15"/>
      <c r="O16" s="15">
        <v>35715.679999999993</v>
      </c>
      <c r="P16" s="16">
        <v>35715.679999999993</v>
      </c>
    </row>
    <row r="17" spans="1:16" ht="15.6" x14ac:dyDescent="0.3">
      <c r="A17" s="17" t="s">
        <v>16</v>
      </c>
      <c r="B17" s="17" t="s">
        <v>23</v>
      </c>
      <c r="C17" s="17">
        <v>38</v>
      </c>
      <c r="D17" s="18">
        <v>43960</v>
      </c>
      <c r="E17" s="26">
        <v>0</v>
      </c>
      <c r="F17" s="17" t="s">
        <v>20</v>
      </c>
      <c r="G17" s="27">
        <v>10</v>
      </c>
      <c r="H17" s="19" t="s">
        <v>19</v>
      </c>
      <c r="I17" s="20">
        <v>1115</v>
      </c>
      <c r="J17" s="21">
        <v>11150</v>
      </c>
      <c r="K17" s="22">
        <v>0</v>
      </c>
      <c r="L17" s="22">
        <v>0</v>
      </c>
      <c r="M17" s="22">
        <v>0</v>
      </c>
      <c r="N17" s="22"/>
      <c r="O17" s="22">
        <v>11150</v>
      </c>
      <c r="P17" s="23">
        <v>11150</v>
      </c>
    </row>
    <row r="18" spans="1:16" ht="15.6" x14ac:dyDescent="0.3">
      <c r="A18" s="10" t="s">
        <v>16</v>
      </c>
      <c r="B18" s="10" t="s">
        <v>23</v>
      </c>
      <c r="C18" s="10">
        <v>39</v>
      </c>
      <c r="D18" s="11">
        <v>43991</v>
      </c>
      <c r="E18" s="24">
        <v>0.28000000000000003</v>
      </c>
      <c r="F18" s="10" t="s">
        <v>18</v>
      </c>
      <c r="G18" s="25">
        <v>20</v>
      </c>
      <c r="H18" s="12" t="s">
        <v>19</v>
      </c>
      <c r="I18" s="13">
        <v>1115</v>
      </c>
      <c r="J18" s="14">
        <v>22300</v>
      </c>
      <c r="K18" s="15">
        <v>0</v>
      </c>
      <c r="L18" s="15">
        <v>3122.0000000000005</v>
      </c>
      <c r="M18" s="15">
        <v>3122.0000000000005</v>
      </c>
      <c r="N18" s="15"/>
      <c r="O18" s="15">
        <v>28544</v>
      </c>
      <c r="P18" s="16">
        <v>28544</v>
      </c>
    </row>
    <row r="19" spans="1:16" ht="15.6" x14ac:dyDescent="0.3">
      <c r="A19" s="17" t="s">
        <v>22</v>
      </c>
      <c r="B19" s="17" t="s">
        <v>23</v>
      </c>
      <c r="C19" s="17">
        <v>40</v>
      </c>
      <c r="D19" s="18">
        <v>44021</v>
      </c>
      <c r="E19" s="26">
        <v>0.12</v>
      </c>
      <c r="F19" s="17" t="s">
        <v>20</v>
      </c>
      <c r="G19" s="27">
        <v>30</v>
      </c>
      <c r="H19" s="19" t="s">
        <v>19</v>
      </c>
      <c r="I19" s="20">
        <v>1115</v>
      </c>
      <c r="J19" s="21">
        <v>33450</v>
      </c>
      <c r="K19" s="22">
        <v>0</v>
      </c>
      <c r="L19" s="22">
        <v>2007</v>
      </c>
      <c r="M19" s="22">
        <v>2007</v>
      </c>
      <c r="N19" s="22"/>
      <c r="O19" s="22">
        <v>37464</v>
      </c>
      <c r="P19" s="23">
        <v>37464</v>
      </c>
    </row>
    <row r="20" spans="1:16" ht="15.6" x14ac:dyDescent="0.3">
      <c r="A20" s="10" t="s">
        <v>22</v>
      </c>
      <c r="B20" s="10" t="s">
        <v>21</v>
      </c>
      <c r="C20" s="10">
        <v>41</v>
      </c>
      <c r="D20" s="11">
        <v>43961</v>
      </c>
      <c r="E20" s="24">
        <v>0.03</v>
      </c>
      <c r="F20" s="10" t="s">
        <v>18</v>
      </c>
      <c r="G20" s="25">
        <v>45</v>
      </c>
      <c r="H20" s="12" t="s">
        <v>19</v>
      </c>
      <c r="I20" s="13">
        <v>1115</v>
      </c>
      <c r="J20" s="14">
        <v>50175</v>
      </c>
      <c r="K20" s="15">
        <v>1505.25</v>
      </c>
      <c r="L20" s="15">
        <v>0</v>
      </c>
      <c r="M20" s="15">
        <v>0</v>
      </c>
      <c r="N20" s="15"/>
      <c r="O20" s="15">
        <v>51680.25</v>
      </c>
      <c r="P20" s="16">
        <v>51680.25</v>
      </c>
    </row>
    <row r="21" spans="1:16" ht="15.6" x14ac:dyDescent="0.3">
      <c r="A21" s="17" t="s">
        <v>22</v>
      </c>
      <c r="B21" s="17" t="s">
        <v>23</v>
      </c>
      <c r="C21" s="17">
        <v>42</v>
      </c>
      <c r="D21" s="18">
        <v>43992</v>
      </c>
      <c r="E21" s="26">
        <v>0.05</v>
      </c>
      <c r="F21" s="17" t="s">
        <v>20</v>
      </c>
      <c r="G21" s="27">
        <v>62</v>
      </c>
      <c r="H21" s="19" t="s">
        <v>19</v>
      </c>
      <c r="I21" s="20">
        <v>1115</v>
      </c>
      <c r="J21" s="21">
        <v>69130</v>
      </c>
      <c r="K21" s="22">
        <v>0</v>
      </c>
      <c r="L21" s="22">
        <v>1728.25</v>
      </c>
      <c r="M21" s="22">
        <v>1728.25</v>
      </c>
      <c r="N21" s="22"/>
      <c r="O21" s="22">
        <v>72586.5</v>
      </c>
      <c r="P21" s="23">
        <v>72586.5</v>
      </c>
    </row>
    <row r="22" spans="1:16" ht="15.6" x14ac:dyDescent="0.3">
      <c r="A22" s="10" t="s">
        <v>22</v>
      </c>
      <c r="B22" s="10" t="s">
        <v>23</v>
      </c>
      <c r="C22" s="10">
        <v>43</v>
      </c>
      <c r="D22" s="11">
        <v>44022</v>
      </c>
      <c r="E22" s="24">
        <v>0</v>
      </c>
      <c r="F22" s="10" t="s">
        <v>18</v>
      </c>
      <c r="G22" s="25">
        <v>12</v>
      </c>
      <c r="H22" s="12" t="s">
        <v>19</v>
      </c>
      <c r="I22" s="13">
        <v>1115</v>
      </c>
      <c r="J22" s="14">
        <v>13380</v>
      </c>
      <c r="K22" s="15">
        <v>0</v>
      </c>
      <c r="L22" s="15">
        <v>0</v>
      </c>
      <c r="M22" s="15">
        <v>0</v>
      </c>
      <c r="N22" s="15"/>
      <c r="O22" s="15">
        <v>13380</v>
      </c>
      <c r="P22" s="16">
        <v>13380</v>
      </c>
    </row>
    <row r="23" spans="1:16" ht="15.6" x14ac:dyDescent="0.3">
      <c r="A23" s="17" t="s">
        <v>22</v>
      </c>
      <c r="B23" s="17" t="s">
        <v>23</v>
      </c>
      <c r="C23" s="17">
        <v>44</v>
      </c>
      <c r="D23" s="18">
        <v>43962</v>
      </c>
      <c r="E23" s="26">
        <v>0</v>
      </c>
      <c r="F23" s="17" t="s">
        <v>20</v>
      </c>
      <c r="G23" s="27">
        <v>25</v>
      </c>
      <c r="H23" s="19" t="s">
        <v>19</v>
      </c>
      <c r="I23" s="20">
        <v>1115</v>
      </c>
      <c r="J23" s="21">
        <v>27875</v>
      </c>
      <c r="K23" s="22">
        <v>0</v>
      </c>
      <c r="L23" s="22">
        <v>0</v>
      </c>
      <c r="M23" s="22">
        <v>0</v>
      </c>
      <c r="N23" s="22"/>
      <c r="O23" s="22">
        <v>27875</v>
      </c>
      <c r="P23" s="23">
        <v>27875</v>
      </c>
    </row>
    <row r="24" spans="1:16" ht="15.6" x14ac:dyDescent="0.3">
      <c r="A24" s="10" t="s">
        <v>22</v>
      </c>
      <c r="B24" s="10" t="s">
        <v>23</v>
      </c>
      <c r="C24" s="10">
        <v>45</v>
      </c>
      <c r="D24" s="11">
        <v>43993</v>
      </c>
      <c r="E24" s="24">
        <v>0.12</v>
      </c>
      <c r="F24" s="10" t="s">
        <v>18</v>
      </c>
      <c r="G24" s="25">
        <v>45</v>
      </c>
      <c r="H24" s="12" t="s">
        <v>19</v>
      </c>
      <c r="I24" s="13">
        <v>1115</v>
      </c>
      <c r="J24" s="14">
        <v>50175</v>
      </c>
      <c r="K24" s="15">
        <v>0</v>
      </c>
      <c r="L24" s="15">
        <v>3010.5</v>
      </c>
      <c r="M24" s="15">
        <v>3010.5</v>
      </c>
      <c r="N24" s="15"/>
      <c r="O24" s="15">
        <v>56196</v>
      </c>
      <c r="P24" s="16">
        <v>56196</v>
      </c>
    </row>
    <row r="25" spans="1:16" ht="15.6" x14ac:dyDescent="0.3">
      <c r="A25" s="17" t="s">
        <v>22</v>
      </c>
      <c r="B25" s="17" t="s">
        <v>23</v>
      </c>
      <c r="C25" s="17">
        <v>46</v>
      </c>
      <c r="D25" s="18">
        <v>44023</v>
      </c>
      <c r="E25" s="26">
        <v>0.12</v>
      </c>
      <c r="F25" s="17" t="s">
        <v>20</v>
      </c>
      <c r="G25" s="27">
        <v>20</v>
      </c>
      <c r="H25" s="19" t="s">
        <v>19</v>
      </c>
      <c r="I25" s="20">
        <v>1115</v>
      </c>
      <c r="J25" s="21">
        <v>22300</v>
      </c>
      <c r="K25" s="22">
        <v>0</v>
      </c>
      <c r="L25" s="22">
        <v>1338</v>
      </c>
      <c r="M25" s="22">
        <v>1338</v>
      </c>
      <c r="N25" s="22"/>
      <c r="O25" s="22">
        <v>24976</v>
      </c>
      <c r="P25" s="23">
        <v>24976</v>
      </c>
    </row>
    <row r="26" spans="1:16" ht="15.6" x14ac:dyDescent="0.3">
      <c r="A26" s="10" t="s">
        <v>22</v>
      </c>
      <c r="B26" s="10" t="s">
        <v>23</v>
      </c>
      <c r="C26" s="10">
        <v>47</v>
      </c>
      <c r="D26" s="11">
        <v>43963</v>
      </c>
      <c r="E26" s="24">
        <v>0.03</v>
      </c>
      <c r="F26" s="10" t="s">
        <v>18</v>
      </c>
      <c r="G26" s="25">
        <v>10</v>
      </c>
      <c r="H26" s="12" t="s">
        <v>19</v>
      </c>
      <c r="I26" s="13">
        <v>1115</v>
      </c>
      <c r="J26" s="14">
        <v>11150</v>
      </c>
      <c r="K26" s="15">
        <v>0</v>
      </c>
      <c r="L26" s="15">
        <v>167.25</v>
      </c>
      <c r="M26" s="15">
        <v>167.25</v>
      </c>
      <c r="N26" s="15"/>
      <c r="O26" s="15">
        <v>11484.5</v>
      </c>
      <c r="P26" s="16">
        <v>11484.5</v>
      </c>
    </row>
    <row r="27" spans="1:16" ht="15.6" x14ac:dyDescent="0.3">
      <c r="A27" s="17" t="s">
        <v>16</v>
      </c>
      <c r="B27" s="17" t="s">
        <v>23</v>
      </c>
      <c r="C27" s="17">
        <v>48</v>
      </c>
      <c r="D27" s="18">
        <v>43994</v>
      </c>
      <c r="E27" s="26">
        <v>0.28000000000000003</v>
      </c>
      <c r="F27" s="17" t="s">
        <v>20</v>
      </c>
      <c r="G27" s="27">
        <v>35</v>
      </c>
      <c r="H27" s="19" t="s">
        <v>19</v>
      </c>
      <c r="I27" s="20">
        <v>1115</v>
      </c>
      <c r="J27" s="21">
        <v>39025</v>
      </c>
      <c r="K27" s="22">
        <v>0</v>
      </c>
      <c r="L27" s="22">
        <v>5463.5000000000009</v>
      </c>
      <c r="M27" s="22">
        <v>5463.5000000000009</v>
      </c>
      <c r="N27" s="22"/>
      <c r="O27" s="22">
        <v>49952</v>
      </c>
      <c r="P27" s="23">
        <v>49952</v>
      </c>
    </row>
    <row r="28" spans="1:16" ht="15.6" x14ac:dyDescent="0.3">
      <c r="A28" s="10" t="s">
        <v>16</v>
      </c>
      <c r="B28" s="10" t="s">
        <v>23</v>
      </c>
      <c r="C28" s="10">
        <v>49</v>
      </c>
      <c r="D28" s="11">
        <v>44024</v>
      </c>
      <c r="E28" s="24">
        <v>0.12</v>
      </c>
      <c r="F28" s="10" t="s">
        <v>18</v>
      </c>
      <c r="G28" s="25">
        <v>15</v>
      </c>
      <c r="H28" s="12" t="s">
        <v>19</v>
      </c>
      <c r="I28" s="13">
        <v>1115</v>
      </c>
      <c r="J28" s="14">
        <v>16725</v>
      </c>
      <c r="K28" s="15">
        <v>0</v>
      </c>
      <c r="L28" s="15">
        <v>1003.5</v>
      </c>
      <c r="M28" s="15">
        <v>1003.5</v>
      </c>
      <c r="N28" s="15"/>
      <c r="O28" s="15">
        <v>18732</v>
      </c>
      <c r="P28" s="16">
        <v>18732</v>
      </c>
    </row>
    <row r="29" spans="1:16" ht="15.6" x14ac:dyDescent="0.3">
      <c r="A29" s="17" t="s">
        <v>16</v>
      </c>
      <c r="B29" s="17" t="s">
        <v>23</v>
      </c>
      <c r="C29" s="17">
        <v>50</v>
      </c>
      <c r="D29" s="18">
        <v>44317</v>
      </c>
      <c r="E29" s="26">
        <v>0.03</v>
      </c>
      <c r="F29" s="17" t="s">
        <v>20</v>
      </c>
      <c r="G29" s="27">
        <v>25</v>
      </c>
      <c r="H29" s="19" t="s">
        <v>19</v>
      </c>
      <c r="I29" s="20">
        <v>1115</v>
      </c>
      <c r="J29" s="21">
        <v>27875</v>
      </c>
      <c r="K29" s="22">
        <v>0</v>
      </c>
      <c r="L29" s="22">
        <v>418.125</v>
      </c>
      <c r="M29" s="22">
        <v>418.125</v>
      </c>
      <c r="N29" s="22"/>
      <c r="O29" s="22">
        <v>28711.25</v>
      </c>
      <c r="P29" s="23">
        <v>28711.25</v>
      </c>
    </row>
    <row r="30" spans="1:16" ht="15.6" x14ac:dyDescent="0.3">
      <c r="A30" s="10" t="s">
        <v>16</v>
      </c>
      <c r="B30" s="10" t="s">
        <v>23</v>
      </c>
      <c r="C30" s="10">
        <v>51</v>
      </c>
      <c r="D30" s="11">
        <v>44348</v>
      </c>
      <c r="E30" s="24">
        <v>0.28000000000000003</v>
      </c>
      <c r="F30" s="10" t="s">
        <v>18</v>
      </c>
      <c r="G30" s="25">
        <v>10</v>
      </c>
      <c r="H30" s="12" t="s">
        <v>19</v>
      </c>
      <c r="I30" s="13">
        <v>1115</v>
      </c>
      <c r="J30" s="14">
        <v>11150</v>
      </c>
      <c r="K30" s="15">
        <v>0</v>
      </c>
      <c r="L30" s="15">
        <v>1561.0000000000002</v>
      </c>
      <c r="M30" s="15">
        <v>1561.0000000000002</v>
      </c>
      <c r="N30" s="15"/>
      <c r="O30" s="15">
        <v>14272</v>
      </c>
      <c r="P30" s="16">
        <v>14272</v>
      </c>
    </row>
    <row r="31" spans="1:16" ht="15.6" x14ac:dyDescent="0.3">
      <c r="A31" s="17" t="s">
        <v>16</v>
      </c>
      <c r="B31" s="17" t="s">
        <v>23</v>
      </c>
      <c r="C31" s="17">
        <v>52</v>
      </c>
      <c r="D31" s="18">
        <v>44378</v>
      </c>
      <c r="E31" s="26">
        <v>0.05</v>
      </c>
      <c r="F31" s="17" t="s">
        <v>20</v>
      </c>
      <c r="G31" s="27">
        <v>5</v>
      </c>
      <c r="H31" s="19" t="s">
        <v>19</v>
      </c>
      <c r="I31" s="20">
        <v>1115</v>
      </c>
      <c r="J31" s="21">
        <v>5575</v>
      </c>
      <c r="K31" s="22">
        <v>0</v>
      </c>
      <c r="L31" s="22">
        <v>139.375</v>
      </c>
      <c r="M31" s="22">
        <v>139.375</v>
      </c>
      <c r="N31" s="22"/>
      <c r="O31" s="22">
        <v>5853.75</v>
      </c>
      <c r="P31" s="23">
        <v>5853.75</v>
      </c>
    </row>
    <row r="32" spans="1:16" ht="15.6" x14ac:dyDescent="0.3">
      <c r="A32" s="10" t="s">
        <v>22</v>
      </c>
      <c r="B32" s="10" t="s">
        <v>23</v>
      </c>
      <c r="C32" s="10">
        <v>53</v>
      </c>
      <c r="D32" s="11">
        <v>44318</v>
      </c>
      <c r="E32" s="24">
        <v>0.03</v>
      </c>
      <c r="F32" s="10" t="s">
        <v>18</v>
      </c>
      <c r="G32" s="25">
        <v>8</v>
      </c>
      <c r="H32" s="12" t="s">
        <v>19</v>
      </c>
      <c r="I32" s="13">
        <v>1115</v>
      </c>
      <c r="J32" s="14">
        <v>8920</v>
      </c>
      <c r="K32" s="15">
        <v>0</v>
      </c>
      <c r="L32" s="15">
        <v>133.79999999999998</v>
      </c>
      <c r="M32" s="15">
        <v>133.79999999999998</v>
      </c>
      <c r="N32" s="15"/>
      <c r="O32" s="15">
        <v>9187.5999999999985</v>
      </c>
      <c r="P32" s="16">
        <v>9187.5999999999985</v>
      </c>
    </row>
    <row r="33" spans="1:16" ht="15.6" x14ac:dyDescent="0.3">
      <c r="A33" s="17" t="s">
        <v>22</v>
      </c>
      <c r="B33" s="17" t="s">
        <v>23</v>
      </c>
      <c r="C33" s="17">
        <v>54</v>
      </c>
      <c r="D33" s="18">
        <v>44349</v>
      </c>
      <c r="E33" s="26">
        <v>0.05</v>
      </c>
      <c r="F33" s="17" t="s">
        <v>20</v>
      </c>
      <c r="G33" s="27">
        <v>10</v>
      </c>
      <c r="H33" s="19" t="s">
        <v>19</v>
      </c>
      <c r="I33" s="20">
        <v>1115</v>
      </c>
      <c r="J33" s="21">
        <v>11150</v>
      </c>
      <c r="K33" s="22">
        <v>0</v>
      </c>
      <c r="L33" s="22">
        <v>278.75</v>
      </c>
      <c r="M33" s="22">
        <v>278.75</v>
      </c>
      <c r="N33" s="22"/>
      <c r="O33" s="22">
        <v>11707.5</v>
      </c>
      <c r="P33" s="23">
        <v>11707.5</v>
      </c>
    </row>
    <row r="34" spans="1:16" ht="15.6" x14ac:dyDescent="0.3">
      <c r="A34" s="10" t="s">
        <v>22</v>
      </c>
      <c r="B34" s="10" t="s">
        <v>23</v>
      </c>
      <c r="C34" s="10">
        <v>55</v>
      </c>
      <c r="D34" s="11">
        <v>44379</v>
      </c>
      <c r="E34" s="24">
        <v>0.05</v>
      </c>
      <c r="F34" s="10" t="s">
        <v>18</v>
      </c>
      <c r="G34" s="25">
        <v>2</v>
      </c>
      <c r="H34" s="12" t="s">
        <v>19</v>
      </c>
      <c r="I34" s="13">
        <v>1115</v>
      </c>
      <c r="J34" s="14">
        <v>2230</v>
      </c>
      <c r="K34" s="15">
        <v>0</v>
      </c>
      <c r="L34" s="15">
        <v>55.75</v>
      </c>
      <c r="M34" s="15">
        <v>55.75</v>
      </c>
      <c r="N34" s="15"/>
      <c r="O34" s="15">
        <v>2341.5</v>
      </c>
      <c r="P34" s="16">
        <v>2341.5</v>
      </c>
    </row>
    <row r="35" spans="1:16" ht="15.6" x14ac:dyDescent="0.3">
      <c r="A35" s="17" t="s">
        <v>22</v>
      </c>
      <c r="B35" s="17" t="s">
        <v>23</v>
      </c>
      <c r="C35" s="17">
        <v>56</v>
      </c>
      <c r="D35" s="18">
        <v>44319</v>
      </c>
      <c r="E35" s="26">
        <v>0.28000000000000003</v>
      </c>
      <c r="F35" s="17" t="s">
        <v>20</v>
      </c>
      <c r="G35" s="27">
        <v>4</v>
      </c>
      <c r="H35" s="19" t="s">
        <v>19</v>
      </c>
      <c r="I35" s="20">
        <v>1115</v>
      </c>
      <c r="J35" s="21">
        <v>4460</v>
      </c>
      <c r="K35" s="22">
        <v>0</v>
      </c>
      <c r="L35" s="22">
        <v>624.40000000000009</v>
      </c>
      <c r="M35" s="22">
        <v>624.40000000000009</v>
      </c>
      <c r="N35" s="22"/>
      <c r="O35" s="22">
        <v>5708.7999999999993</v>
      </c>
      <c r="P35" s="23">
        <v>5708.7999999999993</v>
      </c>
    </row>
    <row r="36" spans="1:16" ht="15.6" x14ac:dyDescent="0.3">
      <c r="A36" s="10" t="s">
        <v>16</v>
      </c>
      <c r="B36" s="10" t="s">
        <v>23</v>
      </c>
      <c r="C36" s="10">
        <v>57</v>
      </c>
      <c r="D36" s="11">
        <v>44350</v>
      </c>
      <c r="E36" s="24">
        <v>1E-3</v>
      </c>
      <c r="F36" s="10" t="s">
        <v>18</v>
      </c>
      <c r="G36" s="25">
        <v>6</v>
      </c>
      <c r="H36" s="12" t="s">
        <v>19</v>
      </c>
      <c r="I36" s="13">
        <v>1115</v>
      </c>
      <c r="J36" s="14">
        <v>6690</v>
      </c>
      <c r="K36" s="15">
        <v>0</v>
      </c>
      <c r="L36" s="15">
        <v>3.3450000000000002</v>
      </c>
      <c r="M36" s="15">
        <v>3.3450000000000002</v>
      </c>
      <c r="N36" s="15"/>
      <c r="O36" s="15">
        <v>6696.6900000000005</v>
      </c>
      <c r="P36" s="16">
        <v>6696.6900000000005</v>
      </c>
    </row>
    <row r="37" spans="1:16" ht="15.6" x14ac:dyDescent="0.3">
      <c r="A37" s="28" t="s">
        <v>16</v>
      </c>
      <c r="B37" s="28" t="s">
        <v>23</v>
      </c>
      <c r="C37" s="28">
        <v>58</v>
      </c>
      <c r="D37" s="29">
        <v>44380</v>
      </c>
      <c r="E37" s="30">
        <v>0</v>
      </c>
      <c r="F37" s="28" t="s">
        <v>20</v>
      </c>
      <c r="G37" s="31">
        <v>5</v>
      </c>
      <c r="H37" s="32" t="s">
        <v>19</v>
      </c>
      <c r="I37" s="33">
        <v>1115</v>
      </c>
      <c r="J37" s="34">
        <v>5575</v>
      </c>
      <c r="K37" s="35">
        <v>0</v>
      </c>
      <c r="L37" s="35">
        <v>0</v>
      </c>
      <c r="M37" s="35">
        <v>0</v>
      </c>
      <c r="N37" s="35"/>
      <c r="O37" s="35">
        <v>5575</v>
      </c>
      <c r="P37" s="36">
        <v>5575</v>
      </c>
    </row>
  </sheetData>
  <conditionalFormatting sqref="A10:A13 A19:A26 A32:A35">
    <cfRule type="expression" dxfId="18" priority="9">
      <formula>IF(ISBLANK(#REF!), 0, SEARCH(#REF!,$A10&amp;#REF!&amp;$B4&amp;$C4&amp;#REF!&amp;$J4))</formula>
    </cfRule>
  </conditionalFormatting>
  <conditionalFormatting sqref="A12:A13">
    <cfRule type="expression" dxfId="17" priority="6">
      <formula>IF(ISBLANK(#REF!), 0, SEARCH(#REF!,$A12&amp;#REF!&amp;$B6&amp;$C6&amp;#REF!&amp;$E6))</formula>
    </cfRule>
  </conditionalFormatting>
  <conditionalFormatting sqref="A21:A22 A25:A26 A34:A35">
    <cfRule type="expression" dxfId="16" priority="13">
      <formula>IF(ISBLANK(#REF!), 0, SEARCH(#REF!,$A21&amp;#REF!&amp;$B15&amp;$C15&amp;#REF!&amp;$E15))</formula>
    </cfRule>
  </conditionalFormatting>
  <conditionalFormatting sqref="B14:B37 E16:E37 G16:G37 J16:J37">
    <cfRule type="expression" dxfId="15" priority="2">
      <formula>IF(ISBLANK(#REF!), 0, SEARCH(#REF!,$A14&amp;#REF!&amp;$B14&amp;$D14&amp;#REF!&amp;$J14))</formula>
    </cfRule>
  </conditionalFormatting>
  <conditionalFormatting sqref="B16:B37 E16:E37 G16:G37 J16:J37">
    <cfRule type="expression" dxfId="14" priority="1">
      <formula>IF(ISBLANK(#REF!), 0, SEARCH(#REF!,$A16&amp;#REF!&amp;$B16&amp;$D16&amp;#REF!&amp;$E16))</formula>
    </cfRule>
  </conditionalFormatting>
  <conditionalFormatting sqref="C2:C3 E2:J3 A4:A9 B4:C13 F4:F37 H4:I37 C14:C37">
    <cfRule type="expression" dxfId="13" priority="5">
      <formula>IF(ISBLANK(#REF!), 0, SEARCH(#REF!,$A2&amp;#REF!&amp;$B2&amp;$C2&amp;#REF!&amp;$J2))</formula>
    </cfRule>
  </conditionalFormatting>
  <conditionalFormatting sqref="D2:D37 A16:A18 A29:A31 A37">
    <cfRule type="expression" dxfId="12" priority="12">
      <formula>IF(ISBLANK(#REF!), 0, SEARCH(#REF!,$A2&amp;#REF!&amp;$B2&amp;$C2&amp;#REF!&amp;$J2))</formula>
    </cfRule>
  </conditionalFormatting>
  <conditionalFormatting sqref="E4:E9 G4:G9 J4:J9">
    <cfRule type="expression" dxfId="11" priority="10">
      <formula>IF(ISBLANK(#REF!), 0, SEARCH(#REF!,$A10&amp;#REF!&amp;$B4&amp;$C4&amp;#REF!&amp;$J4))</formula>
    </cfRule>
  </conditionalFormatting>
  <conditionalFormatting sqref="E6:E9 G6:G9 J6:J9">
    <cfRule type="expression" dxfId="10" priority="7">
      <formula>IF(ISBLANK(#REF!), 0, SEARCH(#REF!,$A12&amp;#REF!&amp;$B6&amp;$C6&amp;#REF!&amp;$E6))</formula>
    </cfRule>
  </conditionalFormatting>
  <conditionalFormatting sqref="E10:E13 G10:G13 J10:J13">
    <cfRule type="expression" dxfId="9" priority="8">
      <formula>IF(ISBLANK(#REF!), 0, SEARCH(#REF!,#REF!&amp;#REF!&amp;$B10&amp;$C10&amp;#REF!&amp;$E10))</formula>
    </cfRule>
    <cfRule type="expression" dxfId="8" priority="11">
      <formula>IF(ISBLANK(#REF!), 0, SEARCH(#REF!,#REF!&amp;#REF!&amp;$B10&amp;$C10&amp;#REF!&amp;$J10))</formula>
    </cfRule>
  </conditionalFormatting>
  <conditionalFormatting sqref="E14:E15 G14:G15 J14:J15">
    <cfRule type="expression" dxfId="7" priority="3">
      <formula>IF(ISBLANK(#REF!), 0, SEARCH(#REF!,#REF!&amp;#REF!&amp;$B14&amp;$D14&amp;#REF!&amp;$E14))</formula>
    </cfRule>
    <cfRule type="expression" dxfId="6"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80E6-F786-47C1-9DF8-001E11E9E4DD}">
  <dimension ref="B2:C6"/>
  <sheetViews>
    <sheetView workbookViewId="0">
      <selection activeCell="G11" sqref="G11"/>
    </sheetView>
  </sheetViews>
  <sheetFormatPr defaultRowHeight="14.4" x14ac:dyDescent="0.3"/>
  <cols>
    <col min="2" max="2" width="20.33203125" bestFit="1" customWidth="1"/>
    <col min="3" max="3" width="17.88671875" bestFit="1" customWidth="1"/>
  </cols>
  <sheetData>
    <row r="2" spans="2:3" ht="21" x14ac:dyDescent="0.4">
      <c r="B2" s="5" t="s">
        <v>35</v>
      </c>
      <c r="C2" s="5" t="s">
        <v>40</v>
      </c>
    </row>
    <row r="3" spans="2:3" ht="21" x14ac:dyDescent="0.4">
      <c r="B3" s="5" t="s">
        <v>36</v>
      </c>
      <c r="C3" s="5" t="s">
        <v>41</v>
      </c>
    </row>
    <row r="4" spans="2:3" ht="21" x14ac:dyDescent="0.4">
      <c r="B4" s="5" t="s">
        <v>37</v>
      </c>
      <c r="C4" s="5" t="s">
        <v>42</v>
      </c>
    </row>
    <row r="5" spans="2:3" ht="21" x14ac:dyDescent="0.4">
      <c r="B5" s="5" t="s">
        <v>38</v>
      </c>
      <c r="C5" s="5" t="s">
        <v>43</v>
      </c>
    </row>
    <row r="6" spans="2:3" ht="21" x14ac:dyDescent="0.4">
      <c r="B6" s="5" t="s">
        <v>39</v>
      </c>
      <c r="C6" s="5" t="s">
        <v>44</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A11C-4B2B-4294-9700-4F7E59783A61}">
  <dimension ref="A3:B6"/>
  <sheetViews>
    <sheetView topLeftCell="B1" workbookViewId="0">
      <selection activeCell="H19" sqref="H19"/>
    </sheetView>
  </sheetViews>
  <sheetFormatPr defaultRowHeight="14.4" x14ac:dyDescent="0.3"/>
  <cols>
    <col min="1" max="1" width="15.109375" bestFit="1" customWidth="1"/>
    <col min="2" max="2" width="15.88671875" bestFit="1" customWidth="1"/>
  </cols>
  <sheetData>
    <row r="3" spans="1:2" ht="18" x14ac:dyDescent="0.35">
      <c r="A3" s="38" t="s">
        <v>24</v>
      </c>
      <c r="B3" s="39" t="s">
        <v>26</v>
      </c>
    </row>
    <row r="4" spans="1:2" ht="18" x14ac:dyDescent="0.35">
      <c r="A4" s="40" t="s">
        <v>16</v>
      </c>
      <c r="B4" s="41">
        <v>410376.47000000003</v>
      </c>
    </row>
    <row r="5" spans="1:2" ht="18" x14ac:dyDescent="0.35">
      <c r="A5" s="40" t="s">
        <v>22</v>
      </c>
      <c r="B5" s="41">
        <v>459587.38999999996</v>
      </c>
    </row>
    <row r="6" spans="1:2" ht="18" x14ac:dyDescent="0.35">
      <c r="A6" s="40" t="s">
        <v>25</v>
      </c>
      <c r="B6" s="41">
        <v>869963.86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4F1D7-B4C6-4692-8333-FE31A39C9361}">
  <dimension ref="A3:B8"/>
  <sheetViews>
    <sheetView workbookViewId="0">
      <selection activeCell="G17" sqref="G17"/>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27</v>
      </c>
      <c r="B4" s="37">
        <v>21004</v>
      </c>
    </row>
    <row r="5" spans="1:2" x14ac:dyDescent="0.3">
      <c r="A5" s="2" t="s">
        <v>28</v>
      </c>
      <c r="B5" s="37">
        <v>229752.43999999997</v>
      </c>
    </row>
    <row r="6" spans="1:2" x14ac:dyDescent="0.3">
      <c r="A6" s="2" t="s">
        <v>29</v>
      </c>
      <c r="B6" s="37">
        <v>389805.09</v>
      </c>
    </row>
    <row r="7" spans="1:2" x14ac:dyDescent="0.3">
      <c r="A7" s="2" t="s">
        <v>30</v>
      </c>
      <c r="B7" s="37">
        <v>229402.33</v>
      </c>
    </row>
    <row r="8" spans="1:2" x14ac:dyDescent="0.3">
      <c r="A8" s="2" t="s">
        <v>25</v>
      </c>
      <c r="B8" s="37">
        <v>869963.86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70CDD-9E26-4B76-9477-02691252C6C1}">
  <dimension ref="A3:E11"/>
  <sheetViews>
    <sheetView workbookViewId="0">
      <selection activeCell="A6" sqref="A4:A10"/>
    </sheetView>
  </sheetViews>
  <sheetFormatPr defaultRowHeight="14.4" x14ac:dyDescent="0.3"/>
  <cols>
    <col min="1" max="1" width="12.5546875" bestFit="1" customWidth="1"/>
    <col min="2" max="2" width="11.21875" bestFit="1" customWidth="1"/>
    <col min="3" max="3" width="11.77734375" bestFit="1" customWidth="1"/>
    <col min="4" max="4" width="11.6640625" bestFit="1" customWidth="1"/>
    <col min="5" max="5" width="12.88671875" bestFit="1" customWidth="1"/>
  </cols>
  <sheetData>
    <row r="3" spans="1:5" x14ac:dyDescent="0.3">
      <c r="A3" s="1" t="s">
        <v>24</v>
      </c>
      <c r="B3" t="s">
        <v>31</v>
      </c>
      <c r="C3" t="s">
        <v>32</v>
      </c>
      <c r="D3" t="s">
        <v>33</v>
      </c>
      <c r="E3" t="s">
        <v>26</v>
      </c>
    </row>
    <row r="4" spans="1:5" x14ac:dyDescent="0.3">
      <c r="A4" s="4">
        <v>0</v>
      </c>
      <c r="B4" s="37">
        <v>0</v>
      </c>
      <c r="C4" s="37">
        <v>0</v>
      </c>
      <c r="D4" s="37">
        <v>0</v>
      </c>
      <c r="E4" s="37">
        <v>84740</v>
      </c>
    </row>
    <row r="5" spans="1:5" x14ac:dyDescent="0.3">
      <c r="A5" s="4">
        <v>1E-3</v>
      </c>
      <c r="B5" s="37">
        <v>0</v>
      </c>
      <c r="C5" s="37">
        <v>46.83</v>
      </c>
      <c r="D5" s="37">
        <v>46.83</v>
      </c>
      <c r="E5" s="37">
        <v>93753.659999999989</v>
      </c>
    </row>
    <row r="6" spans="1:5" x14ac:dyDescent="0.3">
      <c r="A6" s="4">
        <v>0.03</v>
      </c>
      <c r="B6" s="37">
        <v>1505.25</v>
      </c>
      <c r="C6" s="37">
        <v>1087.125</v>
      </c>
      <c r="D6" s="37">
        <v>1087.125</v>
      </c>
      <c r="E6" s="37">
        <v>126329.5</v>
      </c>
    </row>
    <row r="7" spans="1:5" x14ac:dyDescent="0.3">
      <c r="A7" s="4">
        <v>0.05</v>
      </c>
      <c r="B7" s="37">
        <v>1393.75</v>
      </c>
      <c r="C7" s="37">
        <v>2871.125</v>
      </c>
      <c r="D7" s="37">
        <v>2871.125</v>
      </c>
      <c r="E7" s="37">
        <v>149856</v>
      </c>
    </row>
    <row r="8" spans="1:5" x14ac:dyDescent="0.3">
      <c r="A8" s="4">
        <v>0.12</v>
      </c>
      <c r="B8" s="37">
        <v>0</v>
      </c>
      <c r="C8" s="37">
        <v>7559.4</v>
      </c>
      <c r="D8" s="37">
        <v>7559.4</v>
      </c>
      <c r="E8" s="37">
        <v>141108.79999999999</v>
      </c>
    </row>
    <row r="9" spans="1:5" x14ac:dyDescent="0.3">
      <c r="A9" s="4">
        <v>0.18</v>
      </c>
      <c r="B9" s="37">
        <v>8429.4</v>
      </c>
      <c r="C9" s="37">
        <v>3307.95</v>
      </c>
      <c r="D9" s="37">
        <v>3307.95</v>
      </c>
      <c r="E9" s="37">
        <v>98630.3</v>
      </c>
    </row>
    <row r="10" spans="1:5" x14ac:dyDescent="0.3">
      <c r="A10" s="4">
        <v>0.28000000000000003</v>
      </c>
      <c r="B10" s="37">
        <v>0</v>
      </c>
      <c r="C10" s="37">
        <v>19200.300000000003</v>
      </c>
      <c r="D10" s="37">
        <v>19200.300000000003</v>
      </c>
      <c r="E10" s="37">
        <v>175545.59999999998</v>
      </c>
    </row>
    <row r="11" spans="1:5" x14ac:dyDescent="0.3">
      <c r="A11" s="4" t="s">
        <v>25</v>
      </c>
      <c r="B11" s="37">
        <v>11328.4</v>
      </c>
      <c r="C11" s="37">
        <v>34072.730000000003</v>
      </c>
      <c r="D11" s="37">
        <v>34072.730000000003</v>
      </c>
      <c r="E11" s="37">
        <v>869963.86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A5BF0-1505-4957-8FCB-C4A41AD15BF5}">
  <dimension ref="A3:B6"/>
  <sheetViews>
    <sheetView workbookViewId="0">
      <selection activeCell="H8" sqref="H8"/>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20</v>
      </c>
      <c r="B4" s="37">
        <v>427057.24</v>
      </c>
    </row>
    <row r="5" spans="1:2" x14ac:dyDescent="0.3">
      <c r="A5" s="2" t="s">
        <v>18</v>
      </c>
      <c r="B5" s="37">
        <v>442906.61999999994</v>
      </c>
    </row>
    <row r="6" spans="1:2" x14ac:dyDescent="0.3">
      <c r="A6" s="2" t="s">
        <v>25</v>
      </c>
      <c r="B6" s="37">
        <v>869963.85999999987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306C8-63F0-47D8-983D-54AFC0D6B827}">
  <dimension ref="A3:B6"/>
  <sheetViews>
    <sheetView workbookViewId="0">
      <selection activeCell="B4" sqref="B4"/>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21</v>
      </c>
      <c r="B4" s="37">
        <v>139553.4</v>
      </c>
    </row>
    <row r="5" spans="1:2" x14ac:dyDescent="0.3">
      <c r="A5" s="2" t="s">
        <v>17</v>
      </c>
      <c r="B5" s="37">
        <v>730410.46</v>
      </c>
    </row>
    <row r="6" spans="1:2" x14ac:dyDescent="0.3">
      <c r="A6" s="2" t="s">
        <v>25</v>
      </c>
      <c r="B6" s="37">
        <v>869963.86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FIRM WISE</vt:lpstr>
      <vt:lpstr>MONTH WISE</vt:lpstr>
      <vt:lpstr>TAX WISE</vt:lpstr>
      <vt:lpstr>PRODUCT WISE</vt:lpstr>
      <vt:lpstr>DASHBOARD</vt:lpstr>
      <vt:lpstr>DATA</vt:lpstr>
      <vt:lpstr>Sheet1</vt:lpstr>
      <vt:lpstr>FirmWise</vt:lpstr>
      <vt:lpstr>MonthWise</vt:lpstr>
      <vt:lpstr>TaxWise</vt:lpstr>
      <vt:lpstr>ProductWise</vt:lpstr>
      <vt:lpstr>StateWise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Ritika Priyadarshini</cp:lastModifiedBy>
  <dcterms:created xsi:type="dcterms:W3CDTF">2020-04-22T22:10:47Z</dcterms:created>
  <dcterms:modified xsi:type="dcterms:W3CDTF">2025-11-23T09:55:18Z</dcterms:modified>
</cp:coreProperties>
</file>